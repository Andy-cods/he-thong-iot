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tamtech-my.sharepoint.com/personal/int_gtam_vn/Documents/Gia cong/2026/THANG 3/24.03/"/>
    </mc:Choice>
  </mc:AlternateContent>
  <xr:revisionPtr revIDLastSave="4249" documentId="13_ncr:1_{9FE80BD6-4829-4002-A4E7-A36A7E245D16}" xr6:coauthVersionLast="47" xr6:coauthVersionMax="47" xr10:uidLastSave="{A108DA23-D96E-428A-8C70-6C381815F084}"/>
  <bookViews>
    <workbookView xWindow="-108" yWindow="-108" windowWidth="30936" windowHeight="16776" activeTab="1" xr2:uid="{00000000-000D-0000-FFFF-FFFF00000000}"/>
  </bookViews>
  <sheets>
    <sheet name="Z0000002-502653 BOM triển khai" sheetId="12" r:id="rId1"/>
    <sheet name="Z0000002-502654 BOM triển kh ai" sheetId="13" r:id="rId2"/>
    <sheet name="Material&amp;Process" sheetId="7" r:id="rId3"/>
  </sheets>
  <definedNames>
    <definedName name="_xlnm._FilterDatabase" localSheetId="0" hidden="1">'Z0000002-502653 BOM triển khai'!$E$2:$K$43</definedName>
    <definedName name="_xlnm._FilterDatabase" localSheetId="1" hidden="1">'Z0000002-502654 BOM triển kh ai'!$D$2:$H$44</definedName>
    <definedName name="Material_list" localSheetId="2">OFFSET(Table14[[#Headers],[Tên vật liệu tiếng Anh]],1,0,COUNTA(Table14[Tên vật liệu tiếng Anh]),1)</definedName>
    <definedName name="Material_list">OFFSET(#REF!,1,0,COUNTA(#REF!),1)</definedName>
    <definedName name="Process_list" localSheetId="2">OFFSET(Table25[[#Headers],[Tên công đoạn tiếng Anh]],1,0,COUNTA(Table25[Tên công đoạn tiếng Anh]),1)</definedName>
    <definedName name="Process_list">OFFSET(#REF!,1,0,COUNTA(#REF!),1)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3" l="1"/>
  <c r="K38" i="12"/>
  <c r="G52" i="13"/>
  <c r="E12" i="12"/>
  <c r="L53" i="12"/>
  <c r="I3" i="13"/>
  <c r="I41" i="13" s="1"/>
  <c r="I26" i="13"/>
  <c r="I36" i="13" s="1"/>
  <c r="M54" i="12"/>
  <c r="M43" i="12"/>
  <c r="M47" i="12" s="1"/>
  <c r="M22" i="12"/>
  <c r="M40" i="12" s="1"/>
  <c r="M49" i="12" s="1"/>
  <c r="M31" i="12" l="1"/>
  <c r="M37" i="12" s="1"/>
  <c r="M35" i="12"/>
  <c r="M33" i="12"/>
  <c r="M52" i="12"/>
  <c r="H53" i="13" s="1"/>
  <c r="M51" i="12"/>
  <c r="H52" i="13" s="1"/>
  <c r="M46" i="12"/>
  <c r="H47" i="13" s="1"/>
  <c r="M10" i="12"/>
  <c r="M11" i="12" s="1"/>
  <c r="M12" i="12" s="1"/>
  <c r="M13" i="12" s="1"/>
  <c r="M6" i="12"/>
  <c r="M7" i="12" s="1"/>
  <c r="M4" i="12"/>
  <c r="M48" i="12" s="1"/>
  <c r="H49" i="13" s="1"/>
  <c r="H55" i="13"/>
  <c r="H48" i="13"/>
  <c r="H50" i="13"/>
  <c r="H51" i="13"/>
  <c r="M39" i="12"/>
  <c r="M41" i="12" s="1"/>
  <c r="M58" i="12" s="1"/>
  <c r="H59" i="13" s="1"/>
  <c r="L58" i="12"/>
  <c r="G59" i="13" s="1"/>
  <c r="M29" i="12"/>
  <c r="M57" i="12"/>
  <c r="H58" i="13" s="1"/>
  <c r="L57" i="12"/>
  <c r="G58" i="13" s="1"/>
  <c r="M56" i="12"/>
  <c r="H57" i="13" s="1"/>
  <c r="L56" i="12"/>
  <c r="G57" i="13" s="1"/>
  <c r="M28" i="12"/>
  <c r="M55" i="12" s="1"/>
  <c r="H56" i="13" s="1"/>
  <c r="E41" i="13"/>
  <c r="G56" i="13"/>
  <c r="L48" i="12"/>
  <c r="G49" i="13" s="1"/>
  <c r="L52" i="12"/>
  <c r="G53" i="13" s="1"/>
  <c r="L51" i="12"/>
  <c r="L50" i="12"/>
  <c r="G51" i="13" s="1"/>
  <c r="L49" i="12"/>
  <c r="G50" i="13" s="1"/>
  <c r="L47" i="12"/>
  <c r="G48" i="13" s="1"/>
  <c r="L46" i="12"/>
  <c r="G47" i="13" s="1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3" i="12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3" i="13"/>
  <c r="E4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20" i="13"/>
  <c r="E26" i="13"/>
  <c r="E27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2" i="13"/>
  <c r="E43" i="13"/>
  <c r="E3" i="13"/>
  <c r="G40" i="13"/>
  <c r="G41" i="13"/>
  <c r="G42" i="13"/>
  <c r="G4" i="13"/>
  <c r="G7" i="13"/>
  <c r="G9" i="13"/>
  <c r="G10" i="13"/>
  <c r="G11" i="13"/>
  <c r="G13" i="13"/>
  <c r="G14" i="13"/>
  <c r="G16" i="13"/>
  <c r="G17" i="13"/>
  <c r="G20" i="13"/>
  <c r="G26" i="13"/>
  <c r="G27" i="13"/>
  <c r="G28" i="13"/>
  <c r="G29" i="13"/>
  <c r="G31" i="13"/>
  <c r="G32" i="13"/>
  <c r="G33" i="13"/>
  <c r="G34" i="13"/>
  <c r="G38" i="13"/>
  <c r="G3" i="13"/>
  <c r="K20" i="12"/>
  <c r="G25" i="13" s="1"/>
  <c r="E20" i="12"/>
  <c r="E25" i="13" s="1"/>
  <c r="M53" i="12" l="1"/>
  <c r="H54" i="13" s="1"/>
  <c r="E13" i="12"/>
  <c r="K43" i="12"/>
  <c r="G35" i="13" s="1"/>
  <c r="K35" i="12"/>
  <c r="K29" i="12"/>
  <c r="G37" i="13" s="1"/>
  <c r="K28" i="12"/>
  <c r="G36" i="13" s="1"/>
  <c r="K25" i="12"/>
  <c r="G8" i="13" s="1"/>
  <c r="E23" i="12"/>
  <c r="K23" i="12"/>
  <c r="G6" i="13" s="1"/>
  <c r="K22" i="12"/>
  <c r="E22" i="12"/>
  <c r="E5" i="13" s="1"/>
  <c r="K12" i="12"/>
  <c r="K6" i="12"/>
  <c r="G12" i="13" s="1"/>
  <c r="I25" i="12"/>
  <c r="H25" i="12"/>
  <c r="I22" i="12"/>
  <c r="I18" i="12"/>
  <c r="I16" i="12"/>
  <c r="I15" i="12"/>
  <c r="I6" i="12"/>
  <c r="E6" i="13" l="1"/>
  <c r="E36" i="12"/>
  <c r="E28" i="13" s="1"/>
  <c r="E19" i="13"/>
  <c r="E15" i="12"/>
  <c r="K31" i="12"/>
  <c r="G39" i="13" s="1"/>
  <c r="G5" i="13"/>
  <c r="L54" i="12"/>
  <c r="G55" i="13" s="1"/>
  <c r="G43" i="13"/>
  <c r="K13" i="12"/>
  <c r="G19" i="13" s="1"/>
  <c r="G18" i="13"/>
  <c r="E21" i="13" l="1"/>
  <c r="E16" i="12"/>
  <c r="K15" i="12"/>
  <c r="G21" i="13" s="1"/>
  <c r="G54" i="13"/>
  <c r="G15" i="13"/>
  <c r="E22" i="13" l="1"/>
  <c r="E17" i="12"/>
  <c r="K16" i="12"/>
  <c r="G22" i="13" s="1"/>
  <c r="I29" i="12"/>
  <c r="G28" i="12"/>
  <c r="E23" i="13" l="1"/>
  <c r="E18" i="12"/>
  <c r="E24" i="13" s="1"/>
  <c r="K17" i="12"/>
  <c r="G23" i="13" s="1"/>
  <c r="K18" i="12" l="1"/>
  <c r="G24" i="13" s="1"/>
</calcChain>
</file>

<file path=xl/sharedStrings.xml><?xml version="1.0" encoding="utf-8"?>
<sst xmlns="http://schemas.openxmlformats.org/spreadsheetml/2006/main" count="866" uniqueCount="369">
  <si>
    <t>PC</t>
  </si>
  <si>
    <t>MC501</t>
  </si>
  <si>
    <t>AL6061</t>
  </si>
  <si>
    <t>PM107</t>
  </si>
  <si>
    <t>POM</t>
  </si>
  <si>
    <t>POM Thường</t>
  </si>
  <si>
    <t>POM ESD BLACK</t>
  </si>
  <si>
    <t>POM chống tĩnh điện (đen)</t>
  </si>
  <si>
    <t>POM ESD WHITE</t>
  </si>
  <si>
    <t>POM chống tĩnh điện (trắng)</t>
  </si>
  <si>
    <t>PB108</t>
  </si>
  <si>
    <t>PB108 thường</t>
  </si>
  <si>
    <t>PB108 ESD Black</t>
  </si>
  <si>
    <t>PB108 chống tĩnh điện (đen)</t>
  </si>
  <si>
    <t>PB108 chống tĩnh điện (trắng)</t>
  </si>
  <si>
    <t>PM107-B Chống tĩnh điện</t>
  </si>
  <si>
    <t>PVC</t>
  </si>
  <si>
    <t>PVC Thường</t>
  </si>
  <si>
    <t>PVC ESD</t>
  </si>
  <si>
    <t>PVC chống tĩnh điện</t>
  </si>
  <si>
    <t>URETHANE</t>
  </si>
  <si>
    <t>URETHANE Thường</t>
  </si>
  <si>
    <t>URETHANE ESD</t>
  </si>
  <si>
    <t>URETHANE chống tĩnh điện</t>
  </si>
  <si>
    <t>URETHANE 50</t>
  </si>
  <si>
    <t>URETHANE 70</t>
  </si>
  <si>
    <t>URETHANE 90</t>
  </si>
  <si>
    <t>TEFLON</t>
  </si>
  <si>
    <t>TEFLON Thường</t>
  </si>
  <si>
    <t>TEFLON chống tĩnh điện</t>
  </si>
  <si>
    <t>BAKELITE</t>
  </si>
  <si>
    <t>BAKELITE Thường</t>
  </si>
  <si>
    <t>BAKELITE ESD</t>
  </si>
  <si>
    <t>BAKELITE chống tĩnh điện</t>
  </si>
  <si>
    <t>MIKA</t>
  </si>
  <si>
    <t>MICA Thường</t>
  </si>
  <si>
    <t>MIKA ESD</t>
  </si>
  <si>
    <t>MICA chống tĩnh điện</t>
  </si>
  <si>
    <t xml:space="preserve">PC </t>
  </si>
  <si>
    <t>PC thường</t>
  </si>
  <si>
    <t>PC ESD</t>
  </si>
  <si>
    <t>PC chống tĩnh điện</t>
  </si>
  <si>
    <t>PC GF20</t>
  </si>
  <si>
    <t xml:space="preserve">PEEK </t>
  </si>
  <si>
    <t>ULTEM</t>
  </si>
  <si>
    <t xml:space="preserve">UL TEM 1000 </t>
  </si>
  <si>
    <t xml:space="preserve">ULTEM 1000 </t>
  </si>
  <si>
    <t>ALUMINIUM</t>
  </si>
  <si>
    <t xml:space="preserve">AL7075 </t>
  </si>
  <si>
    <t>AL5052</t>
  </si>
  <si>
    <t>Copper (CU)</t>
  </si>
  <si>
    <t>CU Brass</t>
  </si>
  <si>
    <t>Cu (Đồng) Vàng, đồng thau</t>
  </si>
  <si>
    <t>CU Copper</t>
  </si>
  <si>
    <t>Cu (Đồng) Đỏ</t>
  </si>
  <si>
    <t>CU Bronze</t>
  </si>
  <si>
    <t>Cu (Đồng) Xám, Đen</t>
  </si>
  <si>
    <t>STEEL</t>
  </si>
  <si>
    <t>S45C</t>
  </si>
  <si>
    <t>S45C Thép</t>
  </si>
  <si>
    <t xml:space="preserve">SK4 </t>
  </si>
  <si>
    <t>SK5</t>
  </si>
  <si>
    <t xml:space="preserve">SKH51 </t>
  </si>
  <si>
    <t xml:space="preserve">SM20C </t>
  </si>
  <si>
    <t xml:space="preserve">SM45C </t>
  </si>
  <si>
    <t xml:space="preserve">SM55C </t>
  </si>
  <si>
    <t xml:space="preserve">SS400 </t>
  </si>
  <si>
    <t xml:space="preserve">STAVAX </t>
  </si>
  <si>
    <t xml:space="preserve">SKD11 </t>
  </si>
  <si>
    <t xml:space="preserve">SKD61 </t>
  </si>
  <si>
    <t xml:space="preserve">STD11 </t>
  </si>
  <si>
    <t xml:space="preserve">STD61 </t>
  </si>
  <si>
    <t xml:space="preserve">MC901 </t>
  </si>
  <si>
    <t xml:space="preserve">MC501 </t>
  </si>
  <si>
    <t xml:space="preserve">KP4M </t>
  </si>
  <si>
    <t>HSS</t>
  </si>
  <si>
    <t>Thép HSS hay thép gió</t>
  </si>
  <si>
    <t>SUJ-2</t>
  </si>
  <si>
    <t>STAINLESS STEEL</t>
  </si>
  <si>
    <t xml:space="preserve">SUS201 </t>
  </si>
  <si>
    <t xml:space="preserve">SUS303 </t>
  </si>
  <si>
    <t xml:space="preserve">SUS304 </t>
  </si>
  <si>
    <t xml:space="preserve">SUS316 </t>
  </si>
  <si>
    <t>DUROSTONE</t>
  </si>
  <si>
    <t>Durostone</t>
  </si>
  <si>
    <t>Đá cách nhiệt</t>
  </si>
  <si>
    <t>PI108</t>
  </si>
  <si>
    <t>Nhựa PI108</t>
  </si>
  <si>
    <t>PE FOAM</t>
  </si>
  <si>
    <t>PE Foam</t>
  </si>
  <si>
    <t>SILICON</t>
  </si>
  <si>
    <t>Silicon</t>
  </si>
  <si>
    <t>Chung</t>
  </si>
  <si>
    <t>Silicon 40</t>
  </si>
  <si>
    <t>Silicon 45</t>
  </si>
  <si>
    <t>TITAN</t>
  </si>
  <si>
    <t>Titan</t>
  </si>
  <si>
    <t>PB108 ESD White</t>
  </si>
  <si>
    <t>Tên tiếng Việt</t>
  </si>
  <si>
    <t>Tên vật liệu tiếng Anh</t>
  </si>
  <si>
    <t>Loại vật liệu</t>
  </si>
  <si>
    <t>UL TEM thường</t>
  </si>
  <si>
    <t>MCT</t>
  </si>
  <si>
    <t>Wire cutting</t>
  </si>
  <si>
    <t>Cắt dây</t>
  </si>
  <si>
    <t>Milling</t>
  </si>
  <si>
    <t>Phay</t>
  </si>
  <si>
    <t>Drilling</t>
  </si>
  <si>
    <t>Khoan</t>
  </si>
  <si>
    <t>Lathe</t>
  </si>
  <si>
    <t>Tiện</t>
  </si>
  <si>
    <t>Grinding</t>
  </si>
  <si>
    <t>Mài</t>
  </si>
  <si>
    <t>Laser</t>
  </si>
  <si>
    <t>Urethane</t>
  </si>
  <si>
    <t>Sanding</t>
  </si>
  <si>
    <t>Xử lý bề mặt phun bi,cát</t>
  </si>
  <si>
    <t xml:space="preserve">Measuare </t>
  </si>
  <si>
    <t>Assembly</t>
  </si>
  <si>
    <t>Anodizing</t>
  </si>
  <si>
    <t>Packing</t>
  </si>
  <si>
    <t>Test</t>
  </si>
  <si>
    <t>Bending, test…</t>
  </si>
  <si>
    <t>Coating</t>
  </si>
  <si>
    <t>Mold</t>
  </si>
  <si>
    <t>Heating Silicon</t>
  </si>
  <si>
    <t>Plating</t>
  </si>
  <si>
    <t>HRC</t>
  </si>
  <si>
    <t>Tôi Nhiệt</t>
  </si>
  <si>
    <t>DLC</t>
  </si>
  <si>
    <t>Tên công đoạn tiếng Anh</t>
  </si>
  <si>
    <t>Đóng gói</t>
  </si>
  <si>
    <t>Lắp ráp</t>
  </si>
  <si>
    <t>Nhựa MC501 Chống Tĩnh Điện</t>
  </si>
  <si>
    <t>TEFLON ESD</t>
  </si>
  <si>
    <t>Thép SUJ2 tiêu chuẩn JIS G4805 Nhật Bản</t>
  </si>
  <si>
    <t>Ống silicon độ cứng 45</t>
  </si>
  <si>
    <t>Ống silicon độ cứng 40</t>
  </si>
  <si>
    <t>115đ/cm2</t>
  </si>
  <si>
    <t>Giá/hr</t>
  </si>
  <si>
    <t>Giá/kg</t>
  </si>
  <si>
    <t>SUS304 (20-40mm)</t>
  </si>
  <si>
    <t>SUS304 (10-20mm)</t>
  </si>
  <si>
    <t>SUS304 (4-10mm)</t>
  </si>
  <si>
    <t>Image</t>
  </si>
  <si>
    <t>ID Number</t>
  </si>
  <si>
    <t>Quantity</t>
  </si>
  <si>
    <t>Standard Number</t>
  </si>
  <si>
    <t>Sub Category</t>
  </si>
  <si>
    <t>Visible Part Size</t>
  </si>
  <si>
    <t/>
  </si>
  <si>
    <t>4</t>
  </si>
  <si>
    <t>1</t>
  </si>
  <si>
    <t>2</t>
  </si>
  <si>
    <t>8</t>
  </si>
  <si>
    <t>3</t>
  </si>
  <si>
    <t>SPG</t>
  </si>
  <si>
    <t>GTAM</t>
  </si>
  <si>
    <t>MAH</t>
  </si>
  <si>
    <t>PG</t>
  </si>
  <si>
    <t>UP</t>
  </si>
  <si>
    <t>Vitech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</si>
  <si>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</si>
  <si>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</si>
  <si>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</si>
  <si>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</si>
  <si>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</si>
  <si>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</si>
  <si>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</si>
  <si>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</si>
  <si>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</si>
  <si>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</si>
  <si>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</si>
  <si>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</si>
  <si>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</si>
  <si>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</si>
  <si>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</si>
  <si>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</si>
  <si>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</si>
  <si>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</si>
  <si>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</si>
  <si>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</si>
  <si>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</si>
  <si>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</si>
  <si>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</si>
  <si>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</si>
  <si>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</si>
  <si>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</si>
  <si>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</si>
  <si>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</si>
  <si>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</si>
  <si>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</si>
  <si>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</si>
  <si>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</si>
  <si>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</si>
  <si>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</si>
  <si>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</si>
  <si>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</si>
  <si>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</si>
  <si>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</si>
  <si>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</si>
  <si>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</si>
  <si>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</si>
  <si>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</si>
  <si>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</si>
  <si>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</si>
  <si>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</si>
  <si>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</si>
  <si>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</si>
  <si>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</si>
  <si>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</si>
  <si>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</si>
  <si>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</si>
  <si>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</si>
  <si>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</si>
  <si>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</si>
  <si>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</si>
  <si>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</si>
  <si>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</si>
  <si>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</si>
  <si>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</si>
  <si>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</si>
  <si>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</si>
  <si>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</si>
  <si>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</si>
  <si>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</si>
  <si>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</si>
  <si>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</si>
  <si>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</si>
  <si>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</si>
  <si>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</si>
  <si>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</si>
  <si>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</si>
  <si>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</si>
  <si>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</si>
  <si>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</si>
  <si>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</si>
  <si>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</si>
  <si>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</si>
  <si>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</si>
  <si>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</si>
  <si>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</si>
  <si>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</si>
  <si>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</si>
  <si>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Category</t>
  </si>
  <si>
    <t>6</t>
  </si>
  <si>
    <t>KES6-20</t>
  </si>
  <si>
    <t>20.0 X 6.0 X 6.0</t>
  </si>
  <si>
    <t>12</t>
  </si>
  <si>
    <t>STWN20</t>
  </si>
  <si>
    <t>2.0 X 26.0 X 24.0</t>
  </si>
  <si>
    <t>C1609-24-P-00154</t>
  </si>
  <si>
    <t>601.0 X 21.0 X 20.0</t>
  </si>
  <si>
    <t>C1609-24-P-00395</t>
  </si>
  <si>
    <t>570.0 X 21.0 X 20.0</t>
  </si>
  <si>
    <t>C1609-24-P-00393</t>
  </si>
  <si>
    <t>750.0 X 5.0 X 20.0</t>
  </si>
  <si>
    <t>C1609-24-P-00394</t>
  </si>
  <si>
    <t>750.0 X 15.0 X 20.0</t>
  </si>
  <si>
    <t>B6203ZZ</t>
  </si>
  <si>
    <t>12.0 X 40.0 X 40.0</t>
  </si>
  <si>
    <t>C1609-24-P-00381</t>
  </si>
  <si>
    <t>60.0 X 10.0 X 30.0</t>
  </si>
  <si>
    <t>C1609-24-P-00387</t>
  </si>
  <si>
    <t>30.0 X 152.0 X 60.0</t>
  </si>
  <si>
    <t>C1609-24-P-00380</t>
  </si>
  <si>
    <t>13.0 X 10.0 X 28.0</t>
  </si>
  <si>
    <t>C1609-24-P-00376</t>
  </si>
  <si>
    <t>30.0 X 60.0 X 60.0</t>
  </si>
  <si>
    <t>C1609-24-P-00373</t>
  </si>
  <si>
    <t>31.0 X 61.0 X 629.0</t>
  </si>
  <si>
    <t>C1609-24-P-00386</t>
  </si>
  <si>
    <t>C1609-24-P-00379</t>
  </si>
  <si>
    <t>C1609-24-P-00378</t>
  </si>
  <si>
    <t>30.0 X 95.0 X 60.0</t>
  </si>
  <si>
    <t>C1609-24-P-00377</t>
  </si>
  <si>
    <t>HTBN1800S5M-150_info-1-32-32</t>
  </si>
  <si>
    <t>873.0 X 53.0 X 15.0</t>
  </si>
  <si>
    <t>C1609-24-P-00436</t>
  </si>
  <si>
    <t>30.0 X 110.0 X 49.0</t>
  </si>
  <si>
    <t>C1609-24-P-00125_MIR_MIR</t>
  </si>
  <si>
    <t>386.0 X 40.0 X 327.0</t>
  </si>
  <si>
    <t>C1609-24-P-00125_MIR</t>
  </si>
  <si>
    <t>C1609-24-P-00436 copy</t>
  </si>
  <si>
    <t>30.0 X 120.0 X 49.0</t>
  </si>
  <si>
    <t>C1609-24-P-00128_MIR</t>
  </si>
  <si>
    <t>250.0 X 40.0 X 12.0</t>
  </si>
  <si>
    <t>C1609-24-P-00128</t>
  </si>
  <si>
    <t>HTPA32S5M150-A-N20-FC52.0_b</t>
  </si>
  <si>
    <t>22.0 X 52.0 X 52.0</t>
  </si>
  <si>
    <t>SET-SCREW6-5</t>
  </si>
  <si>
    <t>5.0 X 6.0 X 6.0</t>
  </si>
  <si>
    <t>HTPA20S5M150-A-N12_b</t>
  </si>
  <si>
    <t>22.0 X 36.0 X 36.0</t>
  </si>
  <si>
    <t>SET-SCREW4-3</t>
  </si>
  <si>
    <t>3.0 X 4.0 X 4.0</t>
  </si>
  <si>
    <t>C1609-24-P-00390</t>
  </si>
  <si>
    <t>90.0 X 160.0 X 3.0</t>
  </si>
  <si>
    <t>C1609-24-P-00389</t>
  </si>
  <si>
    <t>90.0 X 160.0 X 30.0</t>
  </si>
  <si>
    <t>C1609-24-P-00388_MIR2</t>
  </si>
  <si>
    <t>90.0 X 160.0 X 5.0</t>
  </si>
  <si>
    <t>HTBN300S5M-150_info-1-20-20</t>
  </si>
  <si>
    <t>134.0 X 34.0 X 15.0</t>
  </si>
  <si>
    <t>S9KB18B</t>
  </si>
  <si>
    <t>90.0 X 90.0 X 75.0</t>
  </si>
  <si>
    <t>S9I40GX-V12CE</t>
  </si>
  <si>
    <t>135.0 X 90.0 X 92.0</t>
  </si>
  <si>
    <t>C1609-24-P-00422</t>
  </si>
  <si>
    <t>15.0 X 35.0 X 30.0</t>
  </si>
  <si>
    <t>C1609-24-P-00423 copy</t>
  </si>
  <si>
    <t>20.0 X 30.0 X 49.0</t>
  </si>
  <si>
    <t>C1609-24-P-00420</t>
  </si>
  <si>
    <t>10.0 X 10.0 X 107.0</t>
  </si>
  <si>
    <t>C1609-24-P-00396</t>
  </si>
  <si>
    <t>18.0 X 40.0 X 8.0</t>
  </si>
  <si>
    <t>Part93</t>
  </si>
  <si>
    <t>3.0 X 75.0 X 61.0</t>
  </si>
  <si>
    <t>Solid1_11</t>
  </si>
  <si>
    <t>19.0 X 16.0 X 601.0</t>
  </si>
  <si>
    <t>Solid2_4</t>
  </si>
  <si>
    <t>3.0 X 24.0 X 24.0</t>
  </si>
  <si>
    <t>Solid2_5</t>
  </si>
  <si>
    <t>12.0 X 21.0 X 19.0</t>
  </si>
  <si>
    <t>C1609-24-P-00388</t>
  </si>
  <si>
    <t>SUS304</t>
  </si>
  <si>
    <t>Acetal black</t>
  </si>
  <si>
    <t>HTPA32S5M150-A-N20-FC52.0</t>
  </si>
  <si>
    <t>HTPA20S5M150-A-N12</t>
  </si>
  <si>
    <t>Mica trong</t>
  </si>
  <si>
    <t>SUS304, trục lục giác</t>
  </si>
  <si>
    <t>Z0000002-502653_BANG TAI DIPPING R01</t>
  </si>
  <si>
    <t>Z0000002-502654_BANG TAI DIPPING L01</t>
  </si>
  <si>
    <t>NCC/Vật tư</t>
  </si>
  <si>
    <t>VB</t>
  </si>
  <si>
    <t>Chốt cài</t>
  </si>
  <si>
    <t>Phanh trục</t>
  </si>
  <si>
    <t>AL Profile</t>
  </si>
  <si>
    <t>MI</t>
  </si>
  <si>
    <t>CG</t>
  </si>
  <si>
    <t>Vít trí</t>
  </si>
  <si>
    <t>Bulong/ đệm</t>
  </si>
  <si>
    <t>Vòng đệm</t>
  </si>
  <si>
    <t>Số lượng</t>
  </si>
  <si>
    <t>NCC</t>
  </si>
  <si>
    <t>Note 1</t>
  </si>
  <si>
    <t>Note 2</t>
  </si>
  <si>
    <t>Note 3</t>
  </si>
  <si>
    <t>Nhôm định hình 60x30mm, chiều dài 629mm</t>
  </si>
  <si>
    <t>tồn kho sẵn</t>
  </si>
  <si>
    <t>đã tồn kho sẵn</t>
  </si>
  <si>
    <t xml:space="preserve">HTBN1800S5M-150 , đổi sang C-HTBN1800S5M-150 </t>
  </si>
  <si>
    <t>HTBN300S5M-150, đổi sang C-HTBN300S5M-150</t>
  </si>
  <si>
    <t>Vòng bi B6203ZZ --&gt;  đổi sang C-E6203ZZ</t>
  </si>
  <si>
    <t>ducpt đã nhận hàng 27/3</t>
  </si>
  <si>
    <t>hàng đã về 27/3</t>
  </si>
  <si>
    <t>đã yc gửi data/ có thể lv với NCC mới</t>
  </si>
  <si>
    <t>chưa có data, sẽ có NCC mới</t>
  </si>
  <si>
    <t>chưa gửi data</t>
  </si>
  <si>
    <t>AL6061 màu xám bạc</t>
  </si>
  <si>
    <t>SUS304 --&gt; đổi sang AL6061, anode màu xám bạc</t>
  </si>
  <si>
    <t>TIE</t>
  </si>
  <si>
    <t>chưa có data gửi NCC</t>
  </si>
  <si>
    <t>dđã nhận đủ</t>
  </si>
  <si>
    <t>10/4 đã nhận hàng</t>
  </si>
  <si>
    <t>TT</t>
  </si>
  <si>
    <t>Nguyện đặt NCC nào đó</t>
  </si>
  <si>
    <t>đã báo a VA đặt hàng</t>
  </si>
  <si>
    <t>đaã đặt Thế Long, 18/4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</si>
</sst>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&quot; &quot;;&quot;-&quot;#,##0&quot; &quot;;&quot; - &quot;;@&quot; &quot;"/>
    <numFmt numFmtId="167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sz val="20"/>
      <color theme="8" tint="-0.249977111117893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66" fontId="6" fillId="0" borderId="0">
      <alignment vertical="center"/>
    </xf>
    <xf numFmtId="165" fontId="2" fillId="0" borderId="0" applyFont="0" applyFill="0" applyBorder="0" applyAlignment="0" applyProtection="0">
      <alignment vertical="center"/>
    </xf>
    <xf numFmtId="0" fontId="7" fillId="0" borderId="0"/>
    <xf numFmtId="0" fontId="2" fillId="0" borderId="0"/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67" fontId="0" fillId="0" borderId="0" xfId="10" applyNumberFormat="1" applyFont="1" applyAlignment="1"/>
    <xf numFmtId="167" fontId="0" fillId="2" borderId="0" xfId="10" applyNumberFormat="1" applyFont="1" applyFill="1" applyAlignment="1"/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167" fontId="11" fillId="2" borderId="0" xfId="10" applyNumberFormat="1" applyFont="1" applyFill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4" borderId="3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5" borderId="1" xfId="0" applyFont="1" applyFill="1" applyBorder="1" applyAlignment="1">
      <alignment horizontal="left"/>
    </xf>
    <xf numFmtId="0" fontId="20" fillId="0" borderId="0" xfId="0" applyFont="1"/>
    <xf numFmtId="167" fontId="19" fillId="4" borderId="3" xfId="10" applyNumberFormat="1" applyFont="1" applyFill="1" applyBorder="1" applyAlignment="1">
      <alignment horizontal="center"/>
    </xf>
    <xf numFmtId="167" fontId="20" fillId="5" borderId="1" xfId="10" applyNumberFormat="1" applyFont="1" applyFill="1" applyBorder="1" applyAlignment="1">
      <alignment horizontal="left"/>
    </xf>
    <xf numFmtId="0" fontId="17" fillId="6" borderId="0" xfId="0" applyFont="1" applyFill="1"/>
    <xf numFmtId="0" fontId="0" fillId="6" borderId="1" xfId="0" applyFill="1" applyBorder="1"/>
    <xf numFmtId="0" fontId="19" fillId="7" borderId="3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</cellXfs>
  <cellStyles count="11">
    <cellStyle name="Comma" xfId="10" builtinId="3"/>
    <cellStyle name="Hyperlink 2" xfId="5" xr:uid="{00000000-0005-0000-0000-000000000000}"/>
    <cellStyle name="Normal" xfId="0" builtinId="0"/>
    <cellStyle name="Normal 2" xfId="2" xr:uid="{00000000-0005-0000-0000-000001000000}"/>
    <cellStyle name="쉼표 [0] 2" xfId="4" xr:uid="{00000000-0005-0000-0000-000004000000}"/>
    <cellStyle name="쉼표 [0] 3" xfId="6" xr:uid="{00000000-0005-0000-0000-000005000000}"/>
    <cellStyle name="쉼표 [0] 5" xfId="3" xr:uid="{00000000-0005-0000-0000-000006000000}"/>
    <cellStyle name="쉼표 3" xfId="7" xr:uid="{00000000-0005-0000-0000-000007000000}"/>
    <cellStyle name="표준 40" xfId="1" xr:uid="{00000000-0005-0000-0000-000009000000}"/>
    <cellStyle name="표준_후지분리기" xfId="9" xr:uid="{00000000-0005-0000-0000-00000A000000}"/>
    <cellStyle name="常规_技术推进" xfId="8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</dxf>
    <dxf>
      <font>
        <i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_(* #,##0_);_(* \(#,##0\);_(* &quot;-&quot;??_);_(@_)"/>
      <fill>
        <patternFill>
          <fgColor indexed="64"/>
          <bgColor theme="7" tint="0.7999816888943144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jpeg"/><Relationship Id="rId18" Type="http://schemas.openxmlformats.org/officeDocument/2006/relationships/image" Target="../media/image12.jpeg"/><Relationship Id="rId26" Type="http://schemas.openxmlformats.org/officeDocument/2006/relationships/image" Target="../media/image34.jpeg"/><Relationship Id="rId39" Type="http://schemas.openxmlformats.org/officeDocument/2006/relationships/image" Target="../media/image31.jpeg"/><Relationship Id="rId21" Type="http://schemas.openxmlformats.org/officeDocument/2006/relationships/image" Target="../media/image15.jpeg"/><Relationship Id="rId34" Type="http://schemas.openxmlformats.org/officeDocument/2006/relationships/image" Target="../media/image26.jpeg"/><Relationship Id="rId7" Type="http://schemas.openxmlformats.org/officeDocument/2006/relationships/image" Target="../media/image1.jpeg"/><Relationship Id="rId2" Type="http://schemas.openxmlformats.org/officeDocument/2006/relationships/image" Target="../media/image19.jpeg"/><Relationship Id="rId16" Type="http://schemas.openxmlformats.org/officeDocument/2006/relationships/image" Target="../media/image10.jpeg"/><Relationship Id="rId20" Type="http://schemas.openxmlformats.org/officeDocument/2006/relationships/image" Target="../media/image14.jpeg"/><Relationship Id="rId29" Type="http://schemas.openxmlformats.org/officeDocument/2006/relationships/image" Target="../media/image37.jpeg"/><Relationship Id="rId41" Type="http://schemas.openxmlformats.org/officeDocument/2006/relationships/image" Target="../media/image33.jpeg"/><Relationship Id="rId1" Type="http://schemas.openxmlformats.org/officeDocument/2006/relationships/image" Target="../media/image17.jpeg"/><Relationship Id="rId6" Type="http://schemas.openxmlformats.org/officeDocument/2006/relationships/image" Target="../media/image23.jpeg"/><Relationship Id="rId11" Type="http://schemas.openxmlformats.org/officeDocument/2006/relationships/image" Target="../media/image7.jpeg"/><Relationship Id="rId24" Type="http://schemas.openxmlformats.org/officeDocument/2006/relationships/image" Target="../media/image24.jpeg"/><Relationship Id="rId32" Type="http://schemas.openxmlformats.org/officeDocument/2006/relationships/image" Target="../media/image40.jpeg"/><Relationship Id="rId37" Type="http://schemas.openxmlformats.org/officeDocument/2006/relationships/image" Target="../media/image29.jpeg"/><Relationship Id="rId40" Type="http://schemas.openxmlformats.org/officeDocument/2006/relationships/image" Target="../media/image32.jpeg"/><Relationship Id="rId5" Type="http://schemas.openxmlformats.org/officeDocument/2006/relationships/image" Target="../media/image22.jpeg"/><Relationship Id="rId15" Type="http://schemas.openxmlformats.org/officeDocument/2006/relationships/image" Target="../media/image9.jpeg"/><Relationship Id="rId23" Type="http://schemas.openxmlformats.org/officeDocument/2006/relationships/image" Target="../media/image18.jpeg"/><Relationship Id="rId28" Type="http://schemas.openxmlformats.org/officeDocument/2006/relationships/image" Target="../media/image36.jpeg"/><Relationship Id="rId36" Type="http://schemas.openxmlformats.org/officeDocument/2006/relationships/image" Target="../media/image28.jpeg"/><Relationship Id="rId10" Type="http://schemas.openxmlformats.org/officeDocument/2006/relationships/image" Target="../media/image4.jpeg"/><Relationship Id="rId19" Type="http://schemas.openxmlformats.org/officeDocument/2006/relationships/image" Target="../media/image13.jpeg"/><Relationship Id="rId31" Type="http://schemas.openxmlformats.org/officeDocument/2006/relationships/image" Target="../media/image39.jpeg"/><Relationship Id="rId4" Type="http://schemas.openxmlformats.org/officeDocument/2006/relationships/image" Target="../media/image21.jpeg"/><Relationship Id="rId9" Type="http://schemas.openxmlformats.org/officeDocument/2006/relationships/image" Target="../media/image3.jpeg"/><Relationship Id="rId14" Type="http://schemas.openxmlformats.org/officeDocument/2006/relationships/image" Target="../media/image8.jpeg"/><Relationship Id="rId22" Type="http://schemas.openxmlformats.org/officeDocument/2006/relationships/image" Target="../media/image16.jpeg"/><Relationship Id="rId27" Type="http://schemas.openxmlformats.org/officeDocument/2006/relationships/image" Target="../media/image35.jpeg"/><Relationship Id="rId30" Type="http://schemas.openxmlformats.org/officeDocument/2006/relationships/image" Target="../media/image38.jpeg"/><Relationship Id="rId35" Type="http://schemas.openxmlformats.org/officeDocument/2006/relationships/image" Target="../media/image27.jpeg"/><Relationship Id="rId8" Type="http://schemas.openxmlformats.org/officeDocument/2006/relationships/image" Target="../media/image2.jpeg"/><Relationship Id="rId3" Type="http://schemas.openxmlformats.org/officeDocument/2006/relationships/image" Target="../media/image20.jpeg"/><Relationship Id="rId12" Type="http://schemas.openxmlformats.org/officeDocument/2006/relationships/image" Target="../media/image6.jpeg"/><Relationship Id="rId17" Type="http://schemas.openxmlformats.org/officeDocument/2006/relationships/image" Target="../media/image11.jpeg"/><Relationship Id="rId25" Type="http://schemas.openxmlformats.org/officeDocument/2006/relationships/image" Target="../media/image25.jpeg"/><Relationship Id="rId33" Type="http://schemas.openxmlformats.org/officeDocument/2006/relationships/image" Target="../media/image41.jpeg"/><Relationship Id="rId38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BFE39-CBBD-4661-A5F8-E9AAD17C2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3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02BCB-F709-4025-AFE4-61FB8B9D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83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5C3AA7-0B3B-4BC0-9C0F-24AE7FA7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4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7FB5D1-03DB-43E0-932B-36A584AC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05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7CFD01-F6EE-4240-85BF-2CB7E7A9A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5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E3DA64-64C0-4FF7-999C-DD9CB5DF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6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9D15F2-A637-46D5-ABC5-05159A0C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6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B3E234-726A-4DE1-8C74-997C4F587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47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187908-7296-48BB-BB00-7C0E040B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57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675837-5826-4936-AE9B-958A0EC41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68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5080E9-A970-446F-93DD-E1270842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78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E13207-5945-4276-A3F5-2D24C3942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89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C05BAD-9D19-4BBA-84CC-3D7A6356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99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2C3971-6541-43FA-9B59-E756F71A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210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64D0EF0-D155-42A2-BBBD-EE9D1C8B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720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A06F950-5C55-419C-A8D0-23BCE5B2D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231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FDC10A-CD92-4A03-BE13-A71DCCC6C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742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913B442-2716-4222-AA8D-A58E2973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252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4B8C233-8073-412E-A82A-5E544881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63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55CA068-143B-47F4-A749-5F327F2A4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73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C75661C-94A5-41B1-90AF-E632101D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84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8068090-2713-4E1B-BC13-F0956C641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94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753CD02-CD7F-476E-87E7-27BCDB32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805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4D3E84A-AA48-4993-B1D7-22A9E4E4E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315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A5B95C2-57BE-4AEE-91F5-5CB3C92E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826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2A2A297-39FF-4649-BDD6-39C6CAC16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36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E83AAD6-7573-484F-96CA-8876305E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47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BFE4950-D598-4E98-87FE-5547C9F2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57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C9D06EE-60EE-48FA-A9F8-CE9A06CD3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68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17D12FD-3EFB-45CA-A035-4CD35449D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79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4890631-45FA-485C-A9EA-66D6F8756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89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80283E6-37AE-404F-8833-7B891C67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400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49BA9B3-0AD5-4606-A2FD-AC9D6336F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10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529E458-FC05-42E6-9565-9307BF96C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421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2A5EE70-5A45-48AA-BB67-84A6EE8E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931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CA7F981-D4A6-42E4-A1B1-1A8D397A6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442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D862681-C076-4DA6-B1BE-085DE378E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952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FC172BF-5AB2-433B-8F5C-6AC4BDEA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63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CF19C12-29F7-42C0-9AD4-6E4087C25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73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25A8B6A-DA57-48F3-A4AA-6CD5C1D63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84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7FB79BE-BA74-4718-B2E1-D4EBB4F03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95005"/>
          <a:ext cx="666750" cy="417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E5CDD-4355-4BA5-A596-43F9B4582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5FB060-00F6-426D-B6DB-F6CE71451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E3CEA6-B913-4837-A68F-FF344D97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552BD-2121-405D-A088-73FF6437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2E1BFC-BB8D-45F3-BB2B-F8E34B0D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10CC79-4CDE-494F-BF0A-F8705F04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4BF8CE-9027-405C-9785-78E1956A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01484D-F0E5-44D8-A306-562C44330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928F6D-34DC-4BE5-B800-4DA669BFC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DFD234-972F-4BD1-93E7-DB627E5B1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4DDC6E-77D7-4AF0-97CF-DC4493C7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E13006-80B1-4F7A-8C7F-31D9D601A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3D84AA-45B0-4E24-869D-1DB53064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781862-183D-4C73-8CB2-00E20D27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BA6D8F4-48BA-458F-B599-B656F686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3558A89-6197-43F0-8CA3-3F38A6AD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75A1AF-8440-44C2-A7CC-76CC5C43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922D5AE-140E-4796-B245-C5C11C82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71F929E-0186-40BE-8133-6F59E371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D13E570-BEA1-46C0-A387-40DABFA4E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3B63979-03E2-4044-A0D3-4A110A1B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A1A38B-FC03-4531-9190-88F7FB86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FC13EC-77CF-4402-9A9E-4B8B9A543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2950511-44CF-460D-9B59-7A6DD126F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514B843-737D-4E74-B51C-288AF2F0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2689E21-E72C-4911-ACE8-0DB5CDE4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F7C810E-1FAF-41B9-A7C6-7DD7B746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DA74346-F867-4405-9D43-C93869E7F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6F5D784-6679-4931-A300-5F8F6472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F916150-0447-46F9-BCDD-D73E7894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284C212-549A-4670-AB91-23F38262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C5A0964-1308-4219-B3EE-7C85CF754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A97A39D-C46F-4AED-853E-461198BB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52552E9-8B67-43F9-8861-854EDA677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7DDAFCA-3753-4E27-A9C4-B584002E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CFCE94A-973F-45FF-9296-7B045A913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02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21136A4-217A-49F7-A125-BC7892EF6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12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390D3AD-70DE-471B-96C0-77EF8F005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23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67C9706-F7C6-4B32-9A8F-03801BDF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34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1DB19D5-092E-4BED-8286-1B4414ABF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444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46D17C4-49EA-40C0-BA98-5D350078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955125"/>
          <a:ext cx="666750" cy="4178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CA796F-9F17-47CE-A99D-09D3DA1EBCBE}" name="Table14" displayName="Table14" ref="B2:E70" totalsRowShown="0" tableBorderDxfId="11">
  <autoFilter ref="B2:E70" xr:uid="{00000000-0009-0000-0100-000001000000}"/>
  <tableColumns count="4">
    <tableColumn id="1" xr3:uid="{00000000-0010-0000-0000-000001000000}" name="Loại vật liệu" dataDxfId="10"/>
    <tableColumn id="2" xr3:uid="{00000000-0010-0000-0000-000002000000}" name="Tên vật liệu tiếng Anh" dataDxfId="9"/>
    <tableColumn id="3" xr3:uid="{00000000-0010-0000-0000-000003000000}" name="Tên tiếng Việt" dataDxfId="8"/>
    <tableColumn id="4" xr3:uid="{00000000-0010-0000-0000-000004000000}" name="Giá/kg" dataDxfId="7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3ACA4-0624-4471-B51F-77747AEA8ED2}" name="Table25" displayName="Table25" ref="H2:J22" totalsRowShown="0" tableBorderDxfId="6">
  <autoFilter ref="H2:J22" xr:uid="{00000000-0009-0000-0100-000002000000}"/>
  <tableColumns count="3">
    <tableColumn id="1" xr3:uid="{00000000-0010-0000-0100-000001000000}" name="Tên công đoạn tiếng Anh" dataDxfId="5"/>
    <tableColumn id="3" xr3:uid="{00000000-0010-0000-0100-000003000000}" name="Tên tiếng Việt" dataDxfId="4"/>
    <tableColumn id="2" xr3:uid="{00000000-0010-0000-0100-000002000000}" name="Giá/hr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FD14-7FCE-460B-8066-C0028F5CC951}">
  <dimension ref="A1:X58"/>
  <sheetViews>
    <sheetView topLeftCell="A19" workbookViewId="0">
      <selection activeCell="E4" sqref="E4"/>
    </sheetView>
  </sheetViews>
  <sheetFormatPr defaultRowHeight="14.4"/>
  <cols>
    <col min="1" max="1" width="16.44140625" customWidth="1"/>
    <col min="2" max="2" width="12" customWidth="1"/>
    <col min="3" max="3" width="9.6640625" customWidth="1"/>
    <col min="4" max="4" width="47.33203125" customWidth="1"/>
    <col min="5" max="5" width="56.33203125" customWidth="1"/>
    <col min="6" max="6" width="36.109375" hidden="1" customWidth="1"/>
    <col min="7" max="8" width="27.109375" hidden="1" customWidth="1"/>
    <col min="9" max="9" width="27.5546875" style="9" hidden="1" customWidth="1"/>
    <col min="10" max="12" width="19.6640625" customWidth="1"/>
    <col min="13" max="13" width="24.44140625" customWidth="1"/>
    <col min="14" max="15" width="19.6640625" customWidth="1"/>
    <col min="16" max="16" width="19.44140625" customWidth="1"/>
    <col min="17" max="17" width="17.88671875" customWidth="1"/>
  </cols>
  <sheetData>
    <row r="1" spans="1:24" ht="26.4" thickBot="1">
      <c r="A1" s="17" t="s">
        <v>331</v>
      </c>
      <c r="B1" s="18"/>
      <c r="C1" s="18"/>
      <c r="D1" s="18"/>
      <c r="K1" s="28" t="s">
        <v>343</v>
      </c>
      <c r="L1" s="28">
        <v>2</v>
      </c>
    </row>
    <row r="2" spans="1:24" s="22" customFormat="1" ht="16.2" thickTop="1">
      <c r="A2" s="21" t="s">
        <v>144</v>
      </c>
      <c r="B2" s="21" t="s">
        <v>145</v>
      </c>
      <c r="C2" s="21" t="s">
        <v>146</v>
      </c>
      <c r="D2" s="21" t="s">
        <v>147</v>
      </c>
      <c r="E2" s="21" t="s">
        <v>148</v>
      </c>
      <c r="F2" s="21"/>
      <c r="G2" s="21"/>
      <c r="H2" s="21"/>
      <c r="I2" s="26" t="s">
        <v>244</v>
      </c>
      <c r="J2" s="21" t="s">
        <v>149</v>
      </c>
      <c r="K2" s="19" t="s">
        <v>333</v>
      </c>
      <c r="L2" s="19" t="s">
        <v>343</v>
      </c>
      <c r="M2" s="19" t="s">
        <v>345</v>
      </c>
      <c r="N2" s="19" t="s">
        <v>346</v>
      </c>
      <c r="O2" s="19" t="s">
        <v>347</v>
      </c>
      <c r="P2" s="21"/>
      <c r="X2" s="22" t="s">
        <v>150</v>
      </c>
    </row>
    <row r="3" spans="1:24" s="25" customFormat="1" ht="58.2" customHeight="1">
      <c r="A3" s="23" t="s">
        <v>150</v>
      </c>
      <c r="B3" s="20" t="s">
        <v>162</v>
      </c>
      <c r="C3" s="24" t="s">
        <v>245</v>
      </c>
      <c r="D3" s="24" t="s">
        <v>246</v>
      </c>
      <c r="E3" s="24" t="s">
        <v>150</v>
      </c>
      <c r="F3" s="24"/>
      <c r="G3" s="24"/>
      <c r="H3" s="24"/>
      <c r="I3" s="27">
        <v>8000</v>
      </c>
      <c r="J3" s="24" t="s">
        <v>247</v>
      </c>
      <c r="K3" s="20" t="s">
        <v>335</v>
      </c>
      <c r="L3" s="24">
        <f>$L$1*C3</f>
        <v>12</v>
      </c>
      <c r="M3" s="20" t="s">
        <v>350</v>
      </c>
      <c r="N3" s="24"/>
      <c r="O3" s="24"/>
      <c r="P3" s="24" t="s">
        <v>150</v>
      </c>
      <c r="Q3" s="23"/>
      <c r="R3" s="23"/>
      <c r="X3" s="25" t="s">
        <v>150</v>
      </c>
    </row>
    <row r="4" spans="1:24" s="25" customFormat="1" ht="58.2" customHeight="1">
      <c r="A4" s="23" t="s">
        <v>150</v>
      </c>
      <c r="B4" s="20" t="s">
        <v>163</v>
      </c>
      <c r="C4" s="24" t="s">
        <v>248</v>
      </c>
      <c r="D4" s="24" t="s">
        <v>249</v>
      </c>
      <c r="E4" s="24" t="s">
        <v>150</v>
      </c>
      <c r="F4" s="24"/>
      <c r="G4" s="24"/>
      <c r="H4" s="24"/>
      <c r="I4" s="27">
        <v>10000</v>
      </c>
      <c r="J4" s="24" t="s">
        <v>250</v>
      </c>
      <c r="K4" s="20" t="s">
        <v>336</v>
      </c>
      <c r="L4" s="24">
        <f t="shared" ref="L4:L43" si="0">$L$1*C4</f>
        <v>24</v>
      </c>
      <c r="M4" s="24" t="str">
        <f>M3</f>
        <v>đã tồn kho sẵn</v>
      </c>
      <c r="N4" s="24"/>
      <c r="O4" s="24"/>
      <c r="P4" s="24" t="s">
        <v>150</v>
      </c>
      <c r="Q4" s="23"/>
      <c r="R4" s="23"/>
      <c r="X4" s="25" t="s">
        <v>150</v>
      </c>
    </row>
    <row r="5" spans="1:24" s="25" customFormat="1" ht="58.2" customHeight="1">
      <c r="A5" s="23" t="s">
        <v>150</v>
      </c>
      <c r="B5" s="20" t="s">
        <v>164</v>
      </c>
      <c r="C5" s="24" t="s">
        <v>152</v>
      </c>
      <c r="D5" s="24" t="s">
        <v>251</v>
      </c>
      <c r="E5" s="24" t="s">
        <v>325</v>
      </c>
      <c r="F5" s="24"/>
      <c r="G5" s="24" t="s">
        <v>159</v>
      </c>
      <c r="H5" s="24">
        <v>1400</v>
      </c>
      <c r="I5" s="27">
        <v>450000</v>
      </c>
      <c r="J5" s="24" t="s">
        <v>252</v>
      </c>
      <c r="K5" s="20" t="s">
        <v>365</v>
      </c>
      <c r="L5" s="24">
        <f t="shared" si="0"/>
        <v>2</v>
      </c>
      <c r="M5" s="20" t="s">
        <v>356</v>
      </c>
      <c r="N5" s="24"/>
      <c r="O5" s="24"/>
      <c r="P5" s="24" t="s">
        <v>150</v>
      </c>
      <c r="Q5" s="23"/>
      <c r="R5" s="23"/>
      <c r="X5" s="25" t="s">
        <v>150</v>
      </c>
    </row>
    <row r="6" spans="1:24" s="25" customFormat="1" ht="58.2" customHeight="1">
      <c r="A6" s="23" t="s">
        <v>150</v>
      </c>
      <c r="B6" s="20" t="s">
        <v>165</v>
      </c>
      <c r="C6" s="24" t="s">
        <v>152</v>
      </c>
      <c r="D6" s="24" t="s">
        <v>253</v>
      </c>
      <c r="E6" s="24" t="s">
        <v>325</v>
      </c>
      <c r="F6" s="24"/>
      <c r="G6" s="24" t="s">
        <v>159</v>
      </c>
      <c r="H6" s="24">
        <v>1400</v>
      </c>
      <c r="I6" s="27">
        <f>I5</f>
        <v>450000</v>
      </c>
      <c r="J6" s="24" t="s">
        <v>254</v>
      </c>
      <c r="K6" s="24" t="str">
        <f>K5</f>
        <v>TT</v>
      </c>
      <c r="L6" s="24">
        <f t="shared" si="0"/>
        <v>2</v>
      </c>
      <c r="M6" s="24" t="str">
        <f>M5</f>
        <v>đã yc gửi data/ có thể lv với NCC mới</v>
      </c>
      <c r="N6" s="24"/>
      <c r="O6" s="24"/>
      <c r="P6" s="24" t="s">
        <v>150</v>
      </c>
      <c r="Q6" s="23"/>
      <c r="R6" s="23"/>
      <c r="X6" s="25" t="s">
        <v>150</v>
      </c>
    </row>
    <row r="7" spans="1:24" s="25" customFormat="1" ht="58.2" customHeight="1">
      <c r="A7" s="23" t="s">
        <v>150</v>
      </c>
      <c r="B7" s="20" t="s">
        <v>166</v>
      </c>
      <c r="C7" s="24" t="s">
        <v>155</v>
      </c>
      <c r="D7" s="24" t="s">
        <v>255</v>
      </c>
      <c r="E7" s="24" t="s">
        <v>325</v>
      </c>
      <c r="F7" s="24"/>
      <c r="G7" s="24" t="s">
        <v>158</v>
      </c>
      <c r="H7" s="24">
        <v>585</v>
      </c>
      <c r="I7" s="27">
        <v>145000</v>
      </c>
      <c r="J7" s="24" t="s">
        <v>256</v>
      </c>
      <c r="K7" s="20" t="s">
        <v>161</v>
      </c>
      <c r="L7" s="24">
        <f t="shared" si="0"/>
        <v>6</v>
      </c>
      <c r="M7" s="24" t="str">
        <f>M6</f>
        <v>đã yc gửi data/ có thể lv với NCC mới</v>
      </c>
      <c r="N7" s="24"/>
      <c r="O7" s="24"/>
      <c r="P7" s="24" t="s">
        <v>150</v>
      </c>
      <c r="Q7" s="23"/>
      <c r="R7" s="23"/>
      <c r="X7" s="25" t="s">
        <v>150</v>
      </c>
    </row>
    <row r="8" spans="1:24" s="25" customFormat="1" ht="58.2" customHeight="1">
      <c r="A8" s="23" t="s">
        <v>150</v>
      </c>
      <c r="B8" s="20" t="s">
        <v>167</v>
      </c>
      <c r="C8" s="24" t="s">
        <v>155</v>
      </c>
      <c r="D8" s="24" t="s">
        <v>257</v>
      </c>
      <c r="E8" s="24" t="s">
        <v>326</v>
      </c>
      <c r="F8" s="24"/>
      <c r="G8" s="24"/>
      <c r="H8" s="24">
        <v>330</v>
      </c>
      <c r="I8" s="27">
        <v>140000</v>
      </c>
      <c r="J8" s="24" t="s">
        <v>258</v>
      </c>
      <c r="K8" s="20" t="s">
        <v>157</v>
      </c>
      <c r="L8" s="24">
        <f t="shared" si="0"/>
        <v>6</v>
      </c>
      <c r="M8" s="24"/>
      <c r="N8" s="24"/>
      <c r="O8" s="24"/>
      <c r="P8" s="24" t="s">
        <v>150</v>
      </c>
      <c r="Q8" s="23"/>
      <c r="R8" s="23"/>
      <c r="X8" s="25" t="s">
        <v>150</v>
      </c>
    </row>
    <row r="9" spans="1:24" s="25" customFormat="1" ht="58.2" customHeight="1">
      <c r="A9" s="23" t="s">
        <v>150</v>
      </c>
      <c r="B9" s="20" t="s">
        <v>168</v>
      </c>
      <c r="C9" s="24" t="s">
        <v>154</v>
      </c>
      <c r="D9" s="20" t="s">
        <v>259</v>
      </c>
      <c r="E9" s="20" t="s">
        <v>353</v>
      </c>
      <c r="F9" s="24"/>
      <c r="G9" s="24"/>
      <c r="H9" s="24"/>
      <c r="I9" s="27">
        <v>42000</v>
      </c>
      <c r="J9" s="24" t="s">
        <v>260</v>
      </c>
      <c r="K9" s="20" t="s">
        <v>334</v>
      </c>
      <c r="L9" s="24">
        <f t="shared" si="0"/>
        <v>16</v>
      </c>
      <c r="M9" s="20" t="s">
        <v>355</v>
      </c>
      <c r="N9" s="24"/>
      <c r="O9" s="24"/>
      <c r="P9" s="24" t="s">
        <v>150</v>
      </c>
      <c r="Q9" s="23"/>
      <c r="R9" s="23"/>
      <c r="X9" s="25" t="s">
        <v>150</v>
      </c>
    </row>
    <row r="10" spans="1:24" s="25" customFormat="1" ht="58.2" customHeight="1">
      <c r="A10" s="23" t="s">
        <v>150</v>
      </c>
      <c r="B10" s="20" t="s">
        <v>169</v>
      </c>
      <c r="C10" s="24" t="s">
        <v>151</v>
      </c>
      <c r="D10" s="24" t="s">
        <v>261</v>
      </c>
      <c r="E10" s="20" t="s">
        <v>360</v>
      </c>
      <c r="F10" s="20"/>
      <c r="G10" s="24"/>
      <c r="H10" s="24">
        <v>130</v>
      </c>
      <c r="I10" s="27">
        <v>50000</v>
      </c>
      <c r="J10" s="24" t="s">
        <v>262</v>
      </c>
      <c r="K10" s="20" t="s">
        <v>157</v>
      </c>
      <c r="L10" s="24">
        <f t="shared" si="0"/>
        <v>8</v>
      </c>
      <c r="M10" s="24">
        <f>M8</f>
        <v>0</v>
      </c>
      <c r="N10" s="24"/>
      <c r="O10" s="24"/>
      <c r="P10" s="24" t="s">
        <v>150</v>
      </c>
      <c r="Q10" s="23"/>
      <c r="R10" s="23"/>
      <c r="X10" s="25" t="s">
        <v>150</v>
      </c>
    </row>
    <row r="11" spans="1:24" s="25" customFormat="1" ht="58.2" customHeight="1">
      <c r="A11" s="23" t="s">
        <v>150</v>
      </c>
      <c r="B11" s="20" t="s">
        <v>170</v>
      </c>
      <c r="C11" s="24" t="s">
        <v>152</v>
      </c>
      <c r="D11" s="24" t="s">
        <v>263</v>
      </c>
      <c r="E11" s="20" t="s">
        <v>359</v>
      </c>
      <c r="F11" s="24"/>
      <c r="G11" s="24"/>
      <c r="H11" s="24">
        <v>398</v>
      </c>
      <c r="I11" s="27">
        <v>240000</v>
      </c>
      <c r="J11" s="24" t="s">
        <v>264</v>
      </c>
      <c r="K11" s="20" t="s">
        <v>157</v>
      </c>
      <c r="L11" s="24">
        <f t="shared" si="0"/>
        <v>2</v>
      </c>
      <c r="M11" s="24">
        <f>M10</f>
        <v>0</v>
      </c>
      <c r="N11" s="24"/>
      <c r="O11" s="24"/>
      <c r="P11" s="24" t="s">
        <v>150</v>
      </c>
      <c r="Q11" s="23"/>
      <c r="R11" s="23"/>
      <c r="X11" s="25" t="s">
        <v>150</v>
      </c>
    </row>
    <row r="12" spans="1:24" s="25" customFormat="1" ht="58.2" customHeight="1">
      <c r="A12" s="23" t="s">
        <v>150</v>
      </c>
      <c r="B12" s="20" t="s">
        <v>171</v>
      </c>
      <c r="C12" s="24" t="s">
        <v>153</v>
      </c>
      <c r="D12" s="24" t="s">
        <v>265</v>
      </c>
      <c r="E12" s="24" t="str">
        <f>E11</f>
        <v>AL6061 màu xám bạc</v>
      </c>
      <c r="F12" s="24"/>
      <c r="G12" s="24"/>
      <c r="H12" s="24">
        <v>9</v>
      </c>
      <c r="I12" s="27">
        <v>20000</v>
      </c>
      <c r="J12" s="24" t="s">
        <v>266</v>
      </c>
      <c r="K12" s="24" t="str">
        <f>K11</f>
        <v>GTAM</v>
      </c>
      <c r="L12" s="24">
        <f t="shared" si="0"/>
        <v>4</v>
      </c>
      <c r="M12" s="24">
        <f>M11</f>
        <v>0</v>
      </c>
      <c r="N12" s="24"/>
      <c r="O12" s="24"/>
      <c r="P12" s="24" t="s">
        <v>150</v>
      </c>
      <c r="Q12" s="23"/>
      <c r="R12" s="23"/>
      <c r="X12" s="25" t="s">
        <v>150</v>
      </c>
    </row>
    <row r="13" spans="1:24" s="25" customFormat="1" ht="58.2" customHeight="1">
      <c r="A13" s="23" t="s">
        <v>150</v>
      </c>
      <c r="B13" s="20" t="s">
        <v>172</v>
      </c>
      <c r="C13" s="24" t="s">
        <v>153</v>
      </c>
      <c r="D13" s="24" t="s">
        <v>267</v>
      </c>
      <c r="E13" s="24" t="str">
        <f>E12</f>
        <v>AL6061 màu xám bạc</v>
      </c>
      <c r="F13" s="24"/>
      <c r="G13" s="24"/>
      <c r="H13" s="24">
        <v>140</v>
      </c>
      <c r="I13" s="27">
        <v>115000</v>
      </c>
      <c r="J13" s="24" t="s">
        <v>268</v>
      </c>
      <c r="K13" s="24" t="str">
        <f>K12</f>
        <v>GTAM</v>
      </c>
      <c r="L13" s="24">
        <f t="shared" si="0"/>
        <v>4</v>
      </c>
      <c r="M13" s="24">
        <f>M12</f>
        <v>0</v>
      </c>
      <c r="N13" s="24"/>
      <c r="O13" s="24"/>
      <c r="P13" s="24" t="s">
        <v>150</v>
      </c>
      <c r="Q13" s="23"/>
      <c r="R13" s="23"/>
      <c r="X13" s="25" t="s">
        <v>150</v>
      </c>
    </row>
    <row r="14" spans="1:24" s="25" customFormat="1" ht="58.2" customHeight="1">
      <c r="A14" s="23" t="s">
        <v>150</v>
      </c>
      <c r="B14" s="20" t="s">
        <v>173</v>
      </c>
      <c r="C14" s="24" t="s">
        <v>153</v>
      </c>
      <c r="D14" s="20" t="s">
        <v>269</v>
      </c>
      <c r="E14" s="20" t="s">
        <v>348</v>
      </c>
      <c r="F14" s="20"/>
      <c r="G14" s="24"/>
      <c r="H14" s="24">
        <v>1000</v>
      </c>
      <c r="I14" s="27">
        <v>175000</v>
      </c>
      <c r="J14" s="24" t="s">
        <v>270</v>
      </c>
      <c r="K14" s="20" t="s">
        <v>337</v>
      </c>
      <c r="L14" s="24">
        <f t="shared" si="0"/>
        <v>4</v>
      </c>
      <c r="M14" s="20" t="s">
        <v>364</v>
      </c>
      <c r="N14" s="24"/>
      <c r="O14" s="24"/>
      <c r="P14" s="24" t="s">
        <v>150</v>
      </c>
      <c r="Q14" s="23"/>
      <c r="R14" s="23"/>
      <c r="X14" s="25" t="s">
        <v>150</v>
      </c>
    </row>
    <row r="15" spans="1:24" s="25" customFormat="1" ht="58.2" customHeight="1">
      <c r="A15" s="23" t="s">
        <v>150</v>
      </c>
      <c r="B15" s="20" t="s">
        <v>174</v>
      </c>
      <c r="C15" s="24" t="s">
        <v>152</v>
      </c>
      <c r="D15" s="20" t="s">
        <v>271</v>
      </c>
      <c r="E15" s="20" t="str">
        <f>E13</f>
        <v>AL6061 màu xám bạc</v>
      </c>
      <c r="F15" s="20"/>
      <c r="G15" s="24"/>
      <c r="H15" s="24">
        <v>400</v>
      </c>
      <c r="I15" s="27">
        <f>I11</f>
        <v>240000</v>
      </c>
      <c r="J15" s="24" t="s">
        <v>264</v>
      </c>
      <c r="K15" s="24" t="str">
        <f>K13</f>
        <v>GTAM</v>
      </c>
      <c r="L15" s="24">
        <f t="shared" si="0"/>
        <v>2</v>
      </c>
      <c r="M15" s="24"/>
      <c r="N15" s="24"/>
      <c r="O15" s="24"/>
      <c r="P15" s="24" t="s">
        <v>150</v>
      </c>
      <c r="Q15" s="23"/>
      <c r="R15" s="23"/>
      <c r="X15" s="25" t="s">
        <v>150</v>
      </c>
    </row>
    <row r="16" spans="1:24" s="25" customFormat="1" ht="58.2" customHeight="1">
      <c r="A16" s="23" t="s">
        <v>150</v>
      </c>
      <c r="B16" s="20" t="s">
        <v>175</v>
      </c>
      <c r="C16" s="24" t="s">
        <v>153</v>
      </c>
      <c r="D16" s="24" t="s">
        <v>272</v>
      </c>
      <c r="E16" s="24" t="str">
        <f>E15</f>
        <v>AL6061 màu xám bạc</v>
      </c>
      <c r="F16" s="24"/>
      <c r="G16" s="24"/>
      <c r="H16" s="24"/>
      <c r="I16" s="27">
        <f>I12</f>
        <v>20000</v>
      </c>
      <c r="J16" s="24" t="s">
        <v>266</v>
      </c>
      <c r="K16" s="24" t="str">
        <f>K15</f>
        <v>GTAM</v>
      </c>
      <c r="L16" s="24">
        <f t="shared" si="0"/>
        <v>4</v>
      </c>
      <c r="M16" s="24"/>
      <c r="N16" s="24"/>
      <c r="O16" s="24"/>
      <c r="P16" s="24" t="s">
        <v>150</v>
      </c>
      <c r="Q16" s="23"/>
      <c r="R16" s="23"/>
      <c r="X16" s="25" t="s">
        <v>150</v>
      </c>
    </row>
    <row r="17" spans="1:24" s="25" customFormat="1" ht="58.2" customHeight="1">
      <c r="A17" s="23" t="s">
        <v>150</v>
      </c>
      <c r="B17" s="20" t="s">
        <v>176</v>
      </c>
      <c r="C17" s="24" t="s">
        <v>152</v>
      </c>
      <c r="D17" s="20" t="s">
        <v>273</v>
      </c>
      <c r="E17" s="24" t="str">
        <f>E16</f>
        <v>AL6061 màu xám bạc</v>
      </c>
      <c r="F17" s="24"/>
      <c r="G17" s="24"/>
      <c r="H17" s="24">
        <v>228</v>
      </c>
      <c r="I17" s="27">
        <v>120000</v>
      </c>
      <c r="J17" s="24" t="s">
        <v>274</v>
      </c>
      <c r="K17" s="24" t="str">
        <f>K16</f>
        <v>GTAM</v>
      </c>
      <c r="L17" s="24">
        <f t="shared" si="0"/>
        <v>2</v>
      </c>
      <c r="M17" s="24"/>
      <c r="N17" s="24"/>
      <c r="O17" s="24"/>
      <c r="P17" s="24" t="s">
        <v>150</v>
      </c>
      <c r="Q17" s="23"/>
      <c r="R17" s="23"/>
      <c r="X17" s="25" t="s">
        <v>150</v>
      </c>
    </row>
    <row r="18" spans="1:24" s="25" customFormat="1" ht="58.2" customHeight="1">
      <c r="A18" s="23" t="s">
        <v>150</v>
      </c>
      <c r="B18" s="20" t="s">
        <v>177</v>
      </c>
      <c r="C18" s="24" t="s">
        <v>152</v>
      </c>
      <c r="D18" s="20" t="s">
        <v>275</v>
      </c>
      <c r="E18" s="24" t="str">
        <f>E17</f>
        <v>AL6061 màu xám bạc</v>
      </c>
      <c r="F18" s="24"/>
      <c r="G18" s="24"/>
      <c r="H18" s="24"/>
      <c r="I18" s="27">
        <f>I17</f>
        <v>120000</v>
      </c>
      <c r="J18" s="24" t="s">
        <v>274</v>
      </c>
      <c r="K18" s="24" t="str">
        <f>K17</f>
        <v>GTAM</v>
      </c>
      <c r="L18" s="24">
        <f t="shared" si="0"/>
        <v>2</v>
      </c>
      <c r="M18" s="24"/>
      <c r="N18" s="24"/>
      <c r="O18" s="24"/>
      <c r="P18" s="24" t="s">
        <v>150</v>
      </c>
      <c r="Q18" s="23"/>
      <c r="R18" s="23"/>
      <c r="X18" s="25" t="s">
        <v>150</v>
      </c>
    </row>
    <row r="19" spans="1:24" s="25" customFormat="1" ht="58.2" customHeight="1">
      <c r="A19" s="23" t="s">
        <v>150</v>
      </c>
      <c r="B19" s="20" t="s">
        <v>178</v>
      </c>
      <c r="C19" s="24" t="s">
        <v>155</v>
      </c>
      <c r="D19" s="20" t="s">
        <v>276</v>
      </c>
      <c r="E19" s="20" t="s">
        <v>351</v>
      </c>
      <c r="F19" s="24"/>
      <c r="G19" s="24"/>
      <c r="H19" s="24"/>
      <c r="I19" s="27">
        <v>195000</v>
      </c>
      <c r="J19" s="24" t="s">
        <v>277</v>
      </c>
      <c r="K19" s="20" t="s">
        <v>338</v>
      </c>
      <c r="L19" s="24">
        <f t="shared" si="0"/>
        <v>6</v>
      </c>
      <c r="M19" s="20" t="s">
        <v>354</v>
      </c>
      <c r="N19" s="24"/>
      <c r="O19" s="24"/>
      <c r="P19" s="24" t="s">
        <v>150</v>
      </c>
      <c r="Q19" s="23"/>
      <c r="R19" s="23"/>
      <c r="X19" s="25" t="s">
        <v>150</v>
      </c>
    </row>
    <row r="20" spans="1:24" s="25" customFormat="1" ht="58.2" customHeight="1">
      <c r="A20" s="23" t="s">
        <v>150</v>
      </c>
      <c r="B20" s="20" t="s">
        <v>179</v>
      </c>
      <c r="C20" s="24" t="s">
        <v>153</v>
      </c>
      <c r="D20" s="20" t="s">
        <v>278</v>
      </c>
      <c r="E20" s="20" t="str">
        <f>E10</f>
        <v>SUS304 --&gt; đổi sang AL6061, anode màu xám bạc</v>
      </c>
      <c r="F20" s="20"/>
      <c r="G20" s="24"/>
      <c r="H20" s="24">
        <v>200</v>
      </c>
      <c r="I20" s="27">
        <v>80000</v>
      </c>
      <c r="J20" s="24" t="s">
        <v>279</v>
      </c>
      <c r="K20" s="20" t="str">
        <f>K10</f>
        <v>GTAM</v>
      </c>
      <c r="L20" s="24">
        <f t="shared" si="0"/>
        <v>4</v>
      </c>
      <c r="M20" s="24"/>
      <c r="N20" s="24"/>
      <c r="O20" s="24"/>
      <c r="P20" s="24" t="s">
        <v>150</v>
      </c>
      <c r="Q20" s="23"/>
      <c r="R20" s="23"/>
      <c r="X20" s="25" t="s">
        <v>150</v>
      </c>
    </row>
    <row r="21" spans="1:24" s="25" customFormat="1" ht="58.2" customHeight="1">
      <c r="A21" s="23" t="s">
        <v>150</v>
      </c>
      <c r="B21" s="20" t="s">
        <v>180</v>
      </c>
      <c r="C21" s="24" t="s">
        <v>152</v>
      </c>
      <c r="D21" s="20" t="s">
        <v>280</v>
      </c>
      <c r="E21" s="20" t="s">
        <v>325</v>
      </c>
      <c r="F21" s="20"/>
      <c r="G21" s="24"/>
      <c r="H21" s="24">
        <v>1980</v>
      </c>
      <c r="I21" s="27">
        <v>520000</v>
      </c>
      <c r="J21" s="24" t="s">
        <v>281</v>
      </c>
      <c r="K21" s="20" t="s">
        <v>339</v>
      </c>
      <c r="L21" s="24">
        <f t="shared" si="0"/>
        <v>2</v>
      </c>
      <c r="M21" s="20" t="s">
        <v>366</v>
      </c>
      <c r="N21" s="24"/>
      <c r="O21" s="24"/>
      <c r="P21" s="24" t="s">
        <v>150</v>
      </c>
      <c r="Q21" s="23"/>
      <c r="R21" s="23"/>
      <c r="X21" s="25" t="s">
        <v>150</v>
      </c>
    </row>
    <row r="22" spans="1:24" s="25" customFormat="1" ht="58.2" customHeight="1">
      <c r="A22" s="23" t="s">
        <v>150</v>
      </c>
      <c r="B22" s="20" t="s">
        <v>181</v>
      </c>
      <c r="C22" s="24" t="s">
        <v>152</v>
      </c>
      <c r="D22" s="24" t="s">
        <v>282</v>
      </c>
      <c r="E22" s="24" t="str">
        <f>E21</f>
        <v>SUS304</v>
      </c>
      <c r="F22" s="24"/>
      <c r="G22" s="24"/>
      <c r="H22" s="24"/>
      <c r="I22" s="27">
        <f>I21</f>
        <v>520000</v>
      </c>
      <c r="J22" s="24" t="s">
        <v>281</v>
      </c>
      <c r="K22" s="24" t="str">
        <f>K21</f>
        <v>CG</v>
      </c>
      <c r="L22" s="24">
        <f t="shared" si="0"/>
        <v>2</v>
      </c>
      <c r="M22" s="24" t="str">
        <f>M21</f>
        <v>Nguyện đặt NCC nào đó</v>
      </c>
      <c r="N22" s="24"/>
      <c r="O22" s="24"/>
      <c r="P22" s="24" t="s">
        <v>150</v>
      </c>
      <c r="Q22" s="23"/>
      <c r="R22" s="23"/>
      <c r="X22" s="25" t="s">
        <v>150</v>
      </c>
    </row>
    <row r="23" spans="1:24" s="25" customFormat="1" ht="58.2" customHeight="1">
      <c r="A23" s="23" t="s">
        <v>150</v>
      </c>
      <c r="B23" s="20" t="s">
        <v>182</v>
      </c>
      <c r="C23" s="24" t="s">
        <v>153</v>
      </c>
      <c r="D23" s="20" t="s">
        <v>283</v>
      </c>
      <c r="E23" s="24" t="str">
        <f>E20</f>
        <v>SUS304 --&gt; đổi sang AL6061, anode màu xám bạc</v>
      </c>
      <c r="F23" s="24"/>
      <c r="G23" s="24"/>
      <c r="H23" s="24">
        <v>608</v>
      </c>
      <c r="I23" s="27">
        <v>220000</v>
      </c>
      <c r="J23" s="24" t="s">
        <v>284</v>
      </c>
      <c r="K23" s="24" t="str">
        <f>K20</f>
        <v>GTAM</v>
      </c>
      <c r="L23" s="24">
        <f t="shared" si="0"/>
        <v>4</v>
      </c>
      <c r="M23" s="24"/>
      <c r="N23" s="24"/>
      <c r="O23" s="24"/>
      <c r="P23" s="24" t="s">
        <v>150</v>
      </c>
      <c r="Q23" s="23"/>
      <c r="R23" s="23"/>
      <c r="X23" s="25" t="s">
        <v>150</v>
      </c>
    </row>
    <row r="24" spans="1:24" s="25" customFormat="1" ht="58.2" customHeight="1">
      <c r="A24" s="23" t="s">
        <v>150</v>
      </c>
      <c r="B24" s="20" t="s">
        <v>183</v>
      </c>
      <c r="C24" s="24" t="s">
        <v>152</v>
      </c>
      <c r="D24" s="20" t="s">
        <v>285</v>
      </c>
      <c r="E24" s="20" t="s">
        <v>326</v>
      </c>
      <c r="F24" s="20"/>
      <c r="G24" s="24"/>
      <c r="H24" s="24">
        <v>140</v>
      </c>
      <c r="I24" s="27">
        <v>84000</v>
      </c>
      <c r="J24" s="24" t="s">
        <v>286</v>
      </c>
      <c r="K24" s="20" t="s">
        <v>157</v>
      </c>
      <c r="L24" s="24">
        <f t="shared" si="0"/>
        <v>2</v>
      </c>
      <c r="M24" s="24"/>
      <c r="N24" s="24"/>
      <c r="O24" s="24"/>
      <c r="P24" s="24" t="s">
        <v>150</v>
      </c>
      <c r="Q24" s="23"/>
      <c r="R24" s="23"/>
      <c r="X24" s="25" t="s">
        <v>150</v>
      </c>
    </row>
    <row r="25" spans="1:24" s="25" customFormat="1" ht="58.2" customHeight="1">
      <c r="A25" s="23" t="s">
        <v>150</v>
      </c>
      <c r="B25" s="20" t="s">
        <v>184</v>
      </c>
      <c r="C25" s="24" t="s">
        <v>152</v>
      </c>
      <c r="D25" s="24" t="s">
        <v>287</v>
      </c>
      <c r="E25" s="20" t="s">
        <v>326</v>
      </c>
      <c r="F25" s="20"/>
      <c r="G25" s="24"/>
      <c r="H25" s="24">
        <f>H24</f>
        <v>140</v>
      </c>
      <c r="I25" s="27">
        <f>I24</f>
        <v>84000</v>
      </c>
      <c r="J25" s="24" t="s">
        <v>286</v>
      </c>
      <c r="K25" s="24" t="str">
        <f>K24</f>
        <v>GTAM</v>
      </c>
      <c r="L25" s="24">
        <f t="shared" si="0"/>
        <v>2</v>
      </c>
      <c r="M25" s="24"/>
      <c r="N25" s="24"/>
      <c r="O25" s="24"/>
      <c r="P25" s="24" t="s">
        <v>150</v>
      </c>
      <c r="Q25" s="23"/>
      <c r="R25" s="23"/>
      <c r="X25" s="25" t="s">
        <v>150</v>
      </c>
    </row>
    <row r="26" spans="1:24" s="25" customFormat="1" ht="58.2" customHeight="1">
      <c r="A26" s="23" t="s">
        <v>150</v>
      </c>
      <c r="B26" s="20" t="s">
        <v>185</v>
      </c>
      <c r="C26" s="24" t="s">
        <v>245</v>
      </c>
      <c r="D26" s="20" t="s">
        <v>288</v>
      </c>
      <c r="E26" s="20" t="s">
        <v>327</v>
      </c>
      <c r="F26" s="24"/>
      <c r="G26" s="24" t="s">
        <v>160</v>
      </c>
      <c r="H26" s="24">
        <v>130</v>
      </c>
      <c r="I26" s="27">
        <v>200000</v>
      </c>
      <c r="J26" s="24" t="s">
        <v>289</v>
      </c>
      <c r="K26" s="20" t="s">
        <v>160</v>
      </c>
      <c r="L26" s="24">
        <f t="shared" si="0"/>
        <v>12</v>
      </c>
      <c r="M26" s="20" t="s">
        <v>363</v>
      </c>
      <c r="N26" s="24"/>
      <c r="O26" s="24"/>
      <c r="P26" s="24" t="s">
        <v>150</v>
      </c>
      <c r="Q26" s="23"/>
      <c r="R26" s="23"/>
      <c r="X26" s="25" t="s">
        <v>150</v>
      </c>
    </row>
    <row r="27" spans="1:24" s="25" customFormat="1" ht="58.2" customHeight="1">
      <c r="A27" s="23" t="s">
        <v>150</v>
      </c>
      <c r="B27" s="20" t="s">
        <v>186</v>
      </c>
      <c r="C27" s="24" t="s">
        <v>248</v>
      </c>
      <c r="D27" s="24" t="s">
        <v>290</v>
      </c>
      <c r="E27" s="24" t="s">
        <v>150</v>
      </c>
      <c r="F27" s="24"/>
      <c r="G27" s="24"/>
      <c r="H27" s="24"/>
      <c r="I27" s="27">
        <v>5000</v>
      </c>
      <c r="J27" s="24" t="s">
        <v>291</v>
      </c>
      <c r="K27" s="20" t="s">
        <v>340</v>
      </c>
      <c r="L27" s="24">
        <f t="shared" si="0"/>
        <v>24</v>
      </c>
      <c r="M27" s="20" t="s">
        <v>349</v>
      </c>
      <c r="N27" s="24"/>
      <c r="O27" s="24"/>
      <c r="P27" s="24" t="s">
        <v>150</v>
      </c>
      <c r="Q27" s="23"/>
      <c r="R27" s="23"/>
      <c r="X27" s="25" t="s">
        <v>150</v>
      </c>
    </row>
    <row r="28" spans="1:24" s="25" customFormat="1" ht="58.2" customHeight="1">
      <c r="A28" s="23" t="s">
        <v>150</v>
      </c>
      <c r="B28" s="20" t="s">
        <v>187</v>
      </c>
      <c r="C28" s="24" t="s">
        <v>153</v>
      </c>
      <c r="D28" s="20" t="s">
        <v>292</v>
      </c>
      <c r="E28" s="24" t="s">
        <v>328</v>
      </c>
      <c r="F28" s="24"/>
      <c r="G28" s="24" t="str">
        <f>G26</f>
        <v>UP</v>
      </c>
      <c r="H28" s="24">
        <v>95000</v>
      </c>
      <c r="I28" s="27">
        <v>175000</v>
      </c>
      <c r="J28" s="24" t="s">
        <v>293</v>
      </c>
      <c r="K28" s="24" t="str">
        <f>K26</f>
        <v>UP</v>
      </c>
      <c r="L28" s="24">
        <f t="shared" si="0"/>
        <v>4</v>
      </c>
      <c r="M28" s="24" t="str">
        <f>M26</f>
        <v>dđã nhận đủ</v>
      </c>
      <c r="N28" s="24"/>
      <c r="O28" s="24"/>
      <c r="P28" s="24" t="s">
        <v>150</v>
      </c>
      <c r="Q28" s="23"/>
      <c r="R28" s="23"/>
      <c r="X28" s="25" t="s">
        <v>150</v>
      </c>
    </row>
    <row r="29" spans="1:24" s="25" customFormat="1" ht="58.2" customHeight="1">
      <c r="A29" s="23" t="s">
        <v>150</v>
      </c>
      <c r="B29" s="20" t="s">
        <v>188</v>
      </c>
      <c r="C29" s="24" t="s">
        <v>151</v>
      </c>
      <c r="D29" s="24" t="s">
        <v>294</v>
      </c>
      <c r="E29" s="24" t="s">
        <v>150</v>
      </c>
      <c r="F29" s="24"/>
      <c r="G29" s="24"/>
      <c r="H29" s="24"/>
      <c r="I29" s="27">
        <f>I27</f>
        <v>5000</v>
      </c>
      <c r="J29" s="24" t="s">
        <v>295</v>
      </c>
      <c r="K29" s="24" t="str">
        <f>K27</f>
        <v>Vít trí</v>
      </c>
      <c r="L29" s="24">
        <f t="shared" si="0"/>
        <v>8</v>
      </c>
      <c r="M29" s="24" t="str">
        <f>M27</f>
        <v>tồn kho sẵn</v>
      </c>
      <c r="N29" s="24"/>
      <c r="O29" s="24"/>
      <c r="P29" s="24" t="s">
        <v>150</v>
      </c>
      <c r="Q29" s="23"/>
      <c r="R29" s="23"/>
      <c r="X29" s="25" t="s">
        <v>150</v>
      </c>
    </row>
    <row r="30" spans="1:24" s="25" customFormat="1" ht="58.2" customHeight="1">
      <c r="A30" s="23" t="s">
        <v>150</v>
      </c>
      <c r="B30" s="20" t="s">
        <v>189</v>
      </c>
      <c r="C30" s="24" t="s">
        <v>152</v>
      </c>
      <c r="D30" s="20" t="s">
        <v>296</v>
      </c>
      <c r="E30" s="20" t="s">
        <v>329</v>
      </c>
      <c r="F30" s="20"/>
      <c r="G30" s="24"/>
      <c r="H30" s="24"/>
      <c r="I30" s="27">
        <v>65000</v>
      </c>
      <c r="J30" s="24" t="s">
        <v>297</v>
      </c>
      <c r="K30" s="20" t="s">
        <v>157</v>
      </c>
      <c r="L30" s="24">
        <f t="shared" si="0"/>
        <v>2</v>
      </c>
      <c r="M30" s="24"/>
      <c r="N30" s="24"/>
      <c r="O30" s="24"/>
      <c r="P30" s="24" t="s">
        <v>150</v>
      </c>
      <c r="Q30" s="23"/>
      <c r="R30" s="23"/>
      <c r="X30" s="25" t="s">
        <v>150</v>
      </c>
    </row>
    <row r="31" spans="1:24" s="25" customFormat="1" ht="58.2" customHeight="1">
      <c r="A31" s="23" t="s">
        <v>150</v>
      </c>
      <c r="B31" s="20" t="s">
        <v>190</v>
      </c>
      <c r="C31" s="24" t="s">
        <v>152</v>
      </c>
      <c r="D31" s="20" t="s">
        <v>298</v>
      </c>
      <c r="E31" s="24" t="s">
        <v>325</v>
      </c>
      <c r="F31" s="24"/>
      <c r="G31" s="24"/>
      <c r="H31" s="24">
        <v>160</v>
      </c>
      <c r="I31" s="27">
        <v>65000</v>
      </c>
      <c r="J31" s="24" t="s">
        <v>299</v>
      </c>
      <c r="K31" s="24" t="str">
        <f>K22</f>
        <v>CG</v>
      </c>
      <c r="L31" s="24">
        <f t="shared" si="0"/>
        <v>2</v>
      </c>
      <c r="M31" s="24" t="str">
        <f>M22</f>
        <v>Nguyện đặt NCC nào đó</v>
      </c>
      <c r="N31" s="24"/>
      <c r="O31" s="24"/>
      <c r="P31" s="24" t="s">
        <v>150</v>
      </c>
      <c r="Q31" s="23"/>
      <c r="R31" s="23"/>
      <c r="X31" s="25" t="s">
        <v>150</v>
      </c>
    </row>
    <row r="32" spans="1:24" s="25" customFormat="1" ht="58.2" customHeight="1">
      <c r="A32" s="23" t="s">
        <v>150</v>
      </c>
      <c r="B32" s="20" t="s">
        <v>191</v>
      </c>
      <c r="C32" s="24" t="s">
        <v>152</v>
      </c>
      <c r="D32" s="24" t="s">
        <v>300</v>
      </c>
      <c r="E32" s="24" t="s">
        <v>325</v>
      </c>
      <c r="F32" s="24"/>
      <c r="G32" s="24"/>
      <c r="H32" s="24">
        <v>470</v>
      </c>
      <c r="I32" s="27">
        <v>180000</v>
      </c>
      <c r="J32" s="24" t="s">
        <v>301</v>
      </c>
      <c r="K32" s="20" t="s">
        <v>161</v>
      </c>
      <c r="L32" s="24">
        <f t="shared" si="0"/>
        <v>2</v>
      </c>
      <c r="M32" s="20" t="s">
        <v>358</v>
      </c>
      <c r="N32" s="24"/>
      <c r="O32" s="24"/>
      <c r="P32" s="24" t="s">
        <v>150</v>
      </c>
      <c r="Q32" s="23"/>
      <c r="R32" s="23"/>
      <c r="X32" s="25" t="s">
        <v>150</v>
      </c>
    </row>
    <row r="33" spans="1:24" s="25" customFormat="1" ht="58.2" customHeight="1">
      <c r="A33" s="23" t="s">
        <v>150</v>
      </c>
      <c r="B33" s="20" t="s">
        <v>192</v>
      </c>
      <c r="C33" s="24" t="s">
        <v>152</v>
      </c>
      <c r="D33" s="20" t="s">
        <v>302</v>
      </c>
      <c r="E33" s="20" t="s">
        <v>352</v>
      </c>
      <c r="F33" s="24"/>
      <c r="G33" s="24"/>
      <c r="H33" s="24"/>
      <c r="I33" s="27">
        <v>110000</v>
      </c>
      <c r="J33" s="24" t="s">
        <v>303</v>
      </c>
      <c r="K33" s="20" t="s">
        <v>338</v>
      </c>
      <c r="L33" s="24">
        <f t="shared" si="0"/>
        <v>2</v>
      </c>
      <c r="M33" s="24" t="str">
        <f>M19</f>
        <v>ducpt đã nhận hàng 27/3</v>
      </c>
      <c r="N33" s="24"/>
      <c r="O33" s="24"/>
      <c r="P33" s="24" t="s">
        <v>150</v>
      </c>
      <c r="Q33" s="23"/>
      <c r="R33" s="23"/>
      <c r="X33" s="25" t="s">
        <v>150</v>
      </c>
    </row>
    <row r="34" spans="1:24" s="25" customFormat="1" ht="58.2" customHeight="1">
      <c r="A34" s="23" t="s">
        <v>150</v>
      </c>
      <c r="B34" s="20" t="s">
        <v>193</v>
      </c>
      <c r="C34" s="24" t="s">
        <v>152</v>
      </c>
      <c r="D34" s="20" t="s">
        <v>304</v>
      </c>
      <c r="E34" s="24" t="s">
        <v>150</v>
      </c>
      <c r="F34" s="24"/>
      <c r="G34" s="24"/>
      <c r="H34" s="24"/>
      <c r="I34" s="27">
        <v>1900000</v>
      </c>
      <c r="J34" s="24" t="s">
        <v>305</v>
      </c>
      <c r="K34" s="20" t="s">
        <v>156</v>
      </c>
      <c r="L34" s="24">
        <f t="shared" si="0"/>
        <v>2</v>
      </c>
      <c r="M34" s="20" t="s">
        <v>368</v>
      </c>
      <c r="N34" s="24"/>
      <c r="O34" s="24"/>
      <c r="P34" s="24" t="s">
        <v>150</v>
      </c>
      <c r="Q34" s="23"/>
      <c r="R34" s="23"/>
      <c r="X34" s="25" t="s">
        <v>150</v>
      </c>
    </row>
    <row r="35" spans="1:24" s="25" customFormat="1" ht="58.2" customHeight="1">
      <c r="A35" s="23" t="s">
        <v>150</v>
      </c>
      <c r="B35" s="20" t="s">
        <v>194</v>
      </c>
      <c r="C35" s="24" t="s">
        <v>152</v>
      </c>
      <c r="D35" s="20" t="s">
        <v>306</v>
      </c>
      <c r="E35" s="24" t="s">
        <v>150</v>
      </c>
      <c r="F35" s="24"/>
      <c r="G35" s="24"/>
      <c r="H35" s="24"/>
      <c r="I35" s="27">
        <v>2300000</v>
      </c>
      <c r="J35" s="24" t="s">
        <v>307</v>
      </c>
      <c r="K35" s="24" t="str">
        <f>K34</f>
        <v>SPG</v>
      </c>
      <c r="L35" s="24">
        <f t="shared" si="0"/>
        <v>2</v>
      </c>
      <c r="M35" s="24" t="str">
        <f>M34</f>
        <v>đaã đặt Thế Long, 18/4 giao</v>
      </c>
      <c r="N35" s="24"/>
      <c r="O35" s="24"/>
      <c r="P35" s="24" t="s">
        <v>150</v>
      </c>
      <c r="Q35" s="23"/>
      <c r="R35" s="23"/>
      <c r="X35" s="25" t="s">
        <v>150</v>
      </c>
    </row>
    <row r="36" spans="1:24" s="25" customFormat="1" ht="58.2" customHeight="1">
      <c r="A36" s="23" t="s">
        <v>150</v>
      </c>
      <c r="B36" s="20" t="s">
        <v>195</v>
      </c>
      <c r="C36" s="24" t="s">
        <v>245</v>
      </c>
      <c r="D36" s="20" t="s">
        <v>308</v>
      </c>
      <c r="E36" s="20" t="str">
        <f>E23</f>
        <v>SUS304 --&gt; đổi sang AL6061, anode màu xám bạc</v>
      </c>
      <c r="F36" s="20"/>
      <c r="G36" s="24"/>
      <c r="H36" s="24">
        <v>31</v>
      </c>
      <c r="I36" s="27">
        <v>80000</v>
      </c>
      <c r="J36" s="24" t="s">
        <v>309</v>
      </c>
      <c r="K36" s="20" t="s">
        <v>157</v>
      </c>
      <c r="L36" s="24">
        <f t="shared" si="0"/>
        <v>12</v>
      </c>
      <c r="M36" s="24"/>
      <c r="N36" s="24"/>
      <c r="O36" s="24"/>
      <c r="P36" s="24" t="s">
        <v>150</v>
      </c>
      <c r="Q36" s="23"/>
      <c r="R36" s="23"/>
      <c r="X36" s="25" t="s">
        <v>150</v>
      </c>
    </row>
    <row r="37" spans="1:24" s="25" customFormat="1" ht="58.2" customHeight="1">
      <c r="A37" s="23" t="s">
        <v>150</v>
      </c>
      <c r="B37" s="20" t="s">
        <v>196</v>
      </c>
      <c r="C37" s="24" t="s">
        <v>155</v>
      </c>
      <c r="D37" s="24" t="s">
        <v>310</v>
      </c>
      <c r="E37" s="20" t="s">
        <v>325</v>
      </c>
      <c r="F37" s="20"/>
      <c r="G37" s="24"/>
      <c r="H37" s="24">
        <v>27</v>
      </c>
      <c r="I37" s="27">
        <v>50000</v>
      </c>
      <c r="J37" s="24" t="s">
        <v>311</v>
      </c>
      <c r="K37" s="20" t="s">
        <v>339</v>
      </c>
      <c r="L37" s="24">
        <f t="shared" si="0"/>
        <v>6</v>
      </c>
      <c r="M37" s="24" t="str">
        <f>M31</f>
        <v>Nguyện đặt NCC nào đó</v>
      </c>
      <c r="N37" s="24"/>
      <c r="O37" s="24"/>
      <c r="P37" s="24" t="s">
        <v>150</v>
      </c>
      <c r="Q37" s="23"/>
      <c r="R37" s="23"/>
      <c r="X37" s="25" t="s">
        <v>150</v>
      </c>
    </row>
    <row r="38" spans="1:24" s="25" customFormat="1" ht="58.2" customHeight="1">
      <c r="A38" s="23" t="s">
        <v>150</v>
      </c>
      <c r="B38" s="20" t="s">
        <v>197</v>
      </c>
      <c r="C38" s="24" t="s">
        <v>245</v>
      </c>
      <c r="D38" s="20" t="s">
        <v>312</v>
      </c>
      <c r="E38" s="20" t="s">
        <v>325</v>
      </c>
      <c r="F38" s="20"/>
      <c r="G38" s="24"/>
      <c r="H38" s="24">
        <v>62</v>
      </c>
      <c r="I38" s="27">
        <v>70000</v>
      </c>
      <c r="J38" s="24" t="s">
        <v>313</v>
      </c>
      <c r="K38" s="20" t="str">
        <f>K5</f>
        <v>TT</v>
      </c>
      <c r="L38" s="24">
        <f t="shared" si="0"/>
        <v>12</v>
      </c>
      <c r="M38" s="20" t="s">
        <v>357</v>
      </c>
      <c r="N38" s="24"/>
      <c r="O38" s="24"/>
      <c r="P38" s="24" t="s">
        <v>150</v>
      </c>
      <c r="Q38" s="23"/>
      <c r="R38" s="23"/>
      <c r="X38" s="25" t="s">
        <v>150</v>
      </c>
    </row>
    <row r="39" spans="1:24" s="25" customFormat="1" ht="58.2" customHeight="1">
      <c r="A39" s="23" t="s">
        <v>150</v>
      </c>
      <c r="B39" s="20" t="s">
        <v>198</v>
      </c>
      <c r="C39" s="24" t="s">
        <v>245</v>
      </c>
      <c r="D39" s="20" t="s">
        <v>314</v>
      </c>
      <c r="E39" s="20" t="s">
        <v>325</v>
      </c>
      <c r="F39" s="20"/>
      <c r="G39" s="24"/>
      <c r="H39" s="24">
        <v>27</v>
      </c>
      <c r="I39" s="27">
        <v>50000</v>
      </c>
      <c r="J39" s="24" t="s">
        <v>315</v>
      </c>
      <c r="K39" s="20" t="s">
        <v>161</v>
      </c>
      <c r="L39" s="24">
        <f t="shared" si="0"/>
        <v>12</v>
      </c>
      <c r="M39" s="24" t="str">
        <f>M32</f>
        <v>chưa gửi data</v>
      </c>
      <c r="N39" s="24"/>
      <c r="O39" s="24"/>
      <c r="P39" s="24" t="s">
        <v>150</v>
      </c>
      <c r="Q39" s="23"/>
      <c r="R39" s="23"/>
      <c r="X39" s="25" t="s">
        <v>150</v>
      </c>
    </row>
    <row r="40" spans="1:24" s="25" customFormat="1" ht="58.2" customHeight="1">
      <c r="A40" s="23" t="s">
        <v>150</v>
      </c>
      <c r="B40" s="20" t="s">
        <v>199</v>
      </c>
      <c r="C40" s="24" t="s">
        <v>155</v>
      </c>
      <c r="D40" s="20" t="s">
        <v>316</v>
      </c>
      <c r="E40" s="20" t="s">
        <v>325</v>
      </c>
      <c r="F40" s="20"/>
      <c r="G40" s="24"/>
      <c r="H40" s="24">
        <v>50</v>
      </c>
      <c r="I40" s="27">
        <v>50000</v>
      </c>
      <c r="J40" s="24" t="s">
        <v>317</v>
      </c>
      <c r="K40" s="20" t="s">
        <v>339</v>
      </c>
      <c r="L40" s="24">
        <f t="shared" si="0"/>
        <v>6</v>
      </c>
      <c r="M40" s="24" t="str">
        <f>M22</f>
        <v>Nguyện đặt NCC nào đó</v>
      </c>
      <c r="N40" s="24"/>
      <c r="O40" s="24"/>
      <c r="P40" s="24" t="s">
        <v>150</v>
      </c>
      <c r="Q40" s="23"/>
      <c r="R40" s="23"/>
      <c r="X40" s="25" t="s">
        <v>150</v>
      </c>
    </row>
    <row r="41" spans="1:24" s="25" customFormat="1" ht="58.2" customHeight="1">
      <c r="A41" s="23" t="s">
        <v>150</v>
      </c>
      <c r="B41" s="20" t="s">
        <v>200</v>
      </c>
      <c r="C41" s="24" t="s">
        <v>153</v>
      </c>
      <c r="D41" s="20" t="s">
        <v>318</v>
      </c>
      <c r="E41" s="20" t="s">
        <v>330</v>
      </c>
      <c r="F41" s="20"/>
      <c r="G41" s="24"/>
      <c r="H41" s="24">
        <v>962</v>
      </c>
      <c r="I41" s="27">
        <v>390000</v>
      </c>
      <c r="J41" s="24" t="s">
        <v>319</v>
      </c>
      <c r="K41" s="20" t="s">
        <v>161</v>
      </c>
      <c r="L41" s="24">
        <f t="shared" si="0"/>
        <v>4</v>
      </c>
      <c r="M41" s="24" t="str">
        <f>M39</f>
        <v>chưa gửi data</v>
      </c>
      <c r="N41" s="24"/>
      <c r="O41" s="24"/>
      <c r="P41" s="24" t="s">
        <v>150</v>
      </c>
      <c r="Q41" s="23"/>
      <c r="R41" s="23"/>
      <c r="X41" s="25" t="s">
        <v>150</v>
      </c>
    </row>
    <row r="42" spans="1:24" s="25" customFormat="1" ht="58.2" customHeight="1">
      <c r="A42" s="23" t="s">
        <v>150</v>
      </c>
      <c r="B42" s="20" t="s">
        <v>201</v>
      </c>
      <c r="C42" s="24" t="s">
        <v>151</v>
      </c>
      <c r="D42" s="24" t="s">
        <v>320</v>
      </c>
      <c r="E42" s="20" t="s">
        <v>342</v>
      </c>
      <c r="F42" s="20"/>
      <c r="G42" s="24"/>
      <c r="H42" s="24"/>
      <c r="I42" s="27">
        <v>6000</v>
      </c>
      <c r="J42" s="24" t="s">
        <v>321</v>
      </c>
      <c r="K42" s="20" t="s">
        <v>341</v>
      </c>
      <c r="L42" s="24">
        <f t="shared" si="0"/>
        <v>8</v>
      </c>
      <c r="M42" s="20" t="s">
        <v>350</v>
      </c>
      <c r="N42" s="24"/>
      <c r="O42" s="24"/>
      <c r="P42" s="24" t="s">
        <v>150</v>
      </c>
      <c r="Q42" s="23"/>
      <c r="R42" s="23"/>
      <c r="X42" s="25" t="s">
        <v>150</v>
      </c>
    </row>
    <row r="43" spans="1:24" s="25" customFormat="1" ht="58.2" customHeight="1">
      <c r="A43" s="23" t="s">
        <v>150</v>
      </c>
      <c r="B43" s="20" t="s">
        <v>202</v>
      </c>
      <c r="C43" s="24" t="s">
        <v>151</v>
      </c>
      <c r="D43" s="24" t="s">
        <v>322</v>
      </c>
      <c r="E43" s="20" t="s">
        <v>342</v>
      </c>
      <c r="F43" s="20"/>
      <c r="G43" s="24"/>
      <c r="H43" s="24"/>
      <c r="I43" s="27">
        <v>2500</v>
      </c>
      <c r="J43" s="24" t="s">
        <v>323</v>
      </c>
      <c r="K43" s="24" t="str">
        <f>K42</f>
        <v>Bulong/ đệm</v>
      </c>
      <c r="L43" s="24">
        <f t="shared" si="0"/>
        <v>8</v>
      </c>
      <c r="M43" s="24" t="str">
        <f>M42</f>
        <v>đã tồn kho sẵn</v>
      </c>
      <c r="N43" s="24"/>
      <c r="O43" s="24"/>
      <c r="P43" s="24" t="s">
        <v>150</v>
      </c>
      <c r="Q43" s="23"/>
      <c r="R43" s="23"/>
      <c r="X43" s="25" t="s">
        <v>150</v>
      </c>
    </row>
    <row r="46" spans="1:24">
      <c r="L46" s="29" t="str">
        <f>K14</f>
        <v>AL Profile</v>
      </c>
      <c r="M46" s="29" t="str">
        <f>M14</f>
        <v>10/4 đã nhận hàng</v>
      </c>
      <c r="N46" s="29"/>
    </row>
    <row r="47" spans="1:24">
      <c r="L47" s="29" t="str">
        <f>K42</f>
        <v>Bulong/ đệm</v>
      </c>
      <c r="M47" s="29" t="str">
        <f>M43</f>
        <v>đã tồn kho sẵn</v>
      </c>
      <c r="N47" s="29"/>
    </row>
    <row r="48" spans="1:24">
      <c r="L48" s="29" t="str">
        <f>K4</f>
        <v>Phanh trục</v>
      </c>
      <c r="M48" s="29" t="str">
        <f>M4</f>
        <v>đã tồn kho sẵn</v>
      </c>
      <c r="N48" s="29"/>
    </row>
    <row r="49" spans="12:14">
      <c r="L49" s="29" t="str">
        <f>K40</f>
        <v>CG</v>
      </c>
      <c r="M49" s="29" t="str">
        <f>M40</f>
        <v>Nguyện đặt NCC nào đó</v>
      </c>
      <c r="N49" s="29"/>
    </row>
    <row r="50" spans="12:14">
      <c r="L50" s="29" t="str">
        <f>K30</f>
        <v>GTAM</v>
      </c>
      <c r="M50" s="29"/>
      <c r="N50" s="29"/>
    </row>
    <row r="51" spans="12:14">
      <c r="L51" s="29" t="str">
        <f>K38</f>
        <v>TT</v>
      </c>
      <c r="M51" s="29" t="str">
        <f>M38</f>
        <v>chưa có data, sẽ có NCC mới</v>
      </c>
      <c r="N51" s="29"/>
    </row>
    <row r="52" spans="12:14">
      <c r="L52" s="29" t="str">
        <f>K33</f>
        <v>MI</v>
      </c>
      <c r="M52" s="29" t="str">
        <f>M19</f>
        <v>ducpt đã nhận hàng 27/3</v>
      </c>
      <c r="N52" s="29"/>
    </row>
    <row r="53" spans="12:14">
      <c r="L53" s="29" t="str">
        <f>K5</f>
        <v>TT</v>
      </c>
      <c r="M53" s="29" t="str">
        <f>M6</f>
        <v>đã yc gửi data/ có thể lv với NCC mới</v>
      </c>
      <c r="N53" s="29"/>
    </row>
    <row r="54" spans="12:14">
      <c r="L54" s="29" t="str">
        <f>K35</f>
        <v>SPG</v>
      </c>
      <c r="M54" s="29" t="str">
        <f>M34</f>
        <v>đaã đặt Thế Long, 18/4 giao</v>
      </c>
      <c r="N54" s="29"/>
    </row>
    <row r="55" spans="12:14">
      <c r="L55" s="29" t="s">
        <v>160</v>
      </c>
      <c r="M55" s="29" t="str">
        <f>M28</f>
        <v>dđã nhận đủ</v>
      </c>
      <c r="N55" s="29"/>
    </row>
    <row r="56" spans="12:14">
      <c r="L56" s="29" t="str">
        <f>K9</f>
        <v>VB</v>
      </c>
      <c r="M56" s="29" t="str">
        <f>M9</f>
        <v>hàng đã về 27/3</v>
      </c>
      <c r="N56" s="29"/>
    </row>
    <row r="57" spans="12:14">
      <c r="L57" s="29" t="str">
        <f>K27</f>
        <v>Vít trí</v>
      </c>
      <c r="M57" s="29" t="str">
        <f>M27</f>
        <v>tồn kho sẵn</v>
      </c>
      <c r="N57" s="29"/>
    </row>
    <row r="58" spans="12:14">
      <c r="L58" s="29" t="str">
        <f>K41</f>
        <v>Vitech</v>
      </c>
      <c r="M58" s="29" t="str">
        <f>M41</f>
        <v>chưa gửi data</v>
      </c>
      <c r="N58" s="29"/>
    </row>
  </sheetData>
  <autoFilter ref="E2:K43" xr:uid="{1F74FD14-7FCE-460B-8066-C0028F5CC951}"/>
  <phoneticPr fontId="18" type="noConversion"/>
  <conditionalFormatting sqref="J1:J1048576">
    <cfRule type="duplicateValues" dxfId="2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0D38-2BE4-4F40-AD41-4DCE3F208926}">
  <dimension ref="A1:O59"/>
  <sheetViews>
    <sheetView tabSelected="1" topLeftCell="A30" workbookViewId="0">
      <selection activeCell="F34" sqref="F34"/>
    </sheetView>
  </sheetViews>
  <sheetFormatPr defaultRowHeight="14.4"/>
  <cols>
    <col min="1" max="1" width="16.44140625" customWidth="1"/>
    <col min="2" max="2" width="12" customWidth="1"/>
    <col min="3" max="3" width="9.6640625" customWidth="1"/>
    <col min="4" max="5" width="44.21875" customWidth="1"/>
    <col min="6" max="6" width="19.6640625" customWidth="1"/>
    <col min="7" max="7" width="19.44140625" customWidth="1"/>
    <col min="8" max="12" width="19.6640625" customWidth="1"/>
    <col min="13" max="13" width="19.44140625" customWidth="1"/>
  </cols>
  <sheetData>
    <row r="1" spans="1:15" ht="26.4" thickBot="1">
      <c r="A1" s="17" t="s">
        <v>332</v>
      </c>
      <c r="B1" s="18"/>
      <c r="C1" s="18"/>
      <c r="D1" s="18"/>
      <c r="E1" s="18"/>
      <c r="G1" s="28" t="s">
        <v>343</v>
      </c>
      <c r="H1" s="28">
        <v>2</v>
      </c>
    </row>
    <row r="2" spans="1:15" s="33" customFormat="1" ht="16.2" thickTop="1">
      <c r="A2" s="30" t="s">
        <v>144</v>
      </c>
      <c r="B2" s="31" t="s">
        <v>145</v>
      </c>
      <c r="C2" s="30" t="s">
        <v>146</v>
      </c>
      <c r="D2" s="30" t="s">
        <v>147</v>
      </c>
      <c r="E2" s="30"/>
      <c r="F2" s="30" t="s">
        <v>149</v>
      </c>
      <c r="G2" s="32" t="s">
        <v>344</v>
      </c>
      <c r="H2" s="30"/>
      <c r="I2" s="32" t="s">
        <v>345</v>
      </c>
      <c r="J2" s="32" t="s">
        <v>346</v>
      </c>
      <c r="K2" s="32" t="s">
        <v>347</v>
      </c>
      <c r="L2" s="30"/>
      <c r="M2" s="30"/>
      <c r="O2" s="33" t="s">
        <v>150</v>
      </c>
    </row>
    <row r="3" spans="1:15" s="25" customFormat="1" ht="42.6" customHeight="1">
      <c r="A3" s="23" t="s">
        <v>150</v>
      </c>
      <c r="B3" s="20" t="s">
        <v>203</v>
      </c>
      <c r="C3" s="24" t="s">
        <v>155</v>
      </c>
      <c r="D3" s="24" t="s">
        <v>276</v>
      </c>
      <c r="E3" s="24" t="str">
        <f>VLOOKUP(D3,'Z0000002-502653 BOM triển khai'!$D$3:$J$43,2,0)</f>
        <v xml:space="preserve">HTBN1800S5M-150 , đổi sang C-HTBN1800S5M-150 </v>
      </c>
      <c r="F3" s="24" t="s">
        <v>277</v>
      </c>
      <c r="G3" s="24" t="str">
        <f>VLOOKUP(D3,'Z0000002-502653 BOM triển khai'!$D$3:$K$43,8,0)</f>
        <v>MI</v>
      </c>
      <c r="H3" s="24">
        <f>C3*$H$1</f>
        <v>6</v>
      </c>
      <c r="I3" s="24" t="str">
        <f>'Z0000002-502653 BOM triển khai'!M19</f>
        <v>ducpt đã nhận hàng 27/3</v>
      </c>
      <c r="J3" s="24"/>
      <c r="K3" s="24"/>
      <c r="L3" s="24"/>
      <c r="M3" s="24" t="s">
        <v>150</v>
      </c>
      <c r="O3" s="25" t="s">
        <v>150</v>
      </c>
    </row>
    <row r="4" spans="1:15" s="25" customFormat="1" ht="42.6" customHeight="1">
      <c r="A4" s="23" t="s">
        <v>150</v>
      </c>
      <c r="B4" s="20" t="s">
        <v>204</v>
      </c>
      <c r="C4" s="24" t="s">
        <v>152</v>
      </c>
      <c r="D4" s="24" t="s">
        <v>280</v>
      </c>
      <c r="E4" s="24" t="str">
        <f>VLOOKUP(D4,'Z0000002-502653 BOM triển khai'!$D$3:$J$43,2,0)</f>
        <v>SUS304</v>
      </c>
      <c r="F4" s="24" t="s">
        <v>281</v>
      </c>
      <c r="G4" s="24" t="str">
        <f>VLOOKUP(D4,'Z0000002-502653 BOM triển khai'!$D$3:$K$43,8,0)</f>
        <v>CG</v>
      </c>
      <c r="H4" s="24">
        <f t="shared" ref="H4:H44" si="0">C4*$H$1</f>
        <v>2</v>
      </c>
      <c r="I4" s="24"/>
      <c r="J4" s="24"/>
      <c r="K4" s="24"/>
      <c r="L4" s="24"/>
      <c r="M4" s="24" t="s">
        <v>150</v>
      </c>
      <c r="O4" s="25" t="s">
        <v>150</v>
      </c>
    </row>
    <row r="5" spans="1:15" s="25" customFormat="1" ht="42.6" customHeight="1">
      <c r="A5" s="23" t="s">
        <v>150</v>
      </c>
      <c r="B5" s="20" t="s">
        <v>205</v>
      </c>
      <c r="C5" s="24" t="s">
        <v>152</v>
      </c>
      <c r="D5" s="24" t="s">
        <v>282</v>
      </c>
      <c r="E5" s="24" t="str">
        <f>VLOOKUP(D5,'Z0000002-502653 BOM triển khai'!$D$3:$J$43,2,0)</f>
        <v>SUS304</v>
      </c>
      <c r="F5" s="24" t="s">
        <v>281</v>
      </c>
      <c r="G5" s="24" t="str">
        <f>VLOOKUP(D5,'Z0000002-502653 BOM triển khai'!$D$3:$K$43,8,0)</f>
        <v>CG</v>
      </c>
      <c r="H5" s="24">
        <f t="shared" si="0"/>
        <v>2</v>
      </c>
      <c r="I5" s="24"/>
      <c r="J5" s="24"/>
      <c r="K5" s="24"/>
      <c r="L5" s="24"/>
      <c r="M5" s="24" t="s">
        <v>150</v>
      </c>
      <c r="O5" s="25" t="s">
        <v>150</v>
      </c>
    </row>
    <row r="6" spans="1:15" s="25" customFormat="1" ht="42.6" customHeight="1">
      <c r="A6" s="23" t="s">
        <v>150</v>
      </c>
      <c r="B6" s="20" t="s">
        <v>206</v>
      </c>
      <c r="C6" s="24" t="s">
        <v>153</v>
      </c>
      <c r="D6" s="24" t="s">
        <v>283</v>
      </c>
      <c r="E6" s="24" t="str">
        <f>VLOOKUP(D6,'Z0000002-502653 BOM triển khai'!$D$3:$J$43,2,0)</f>
        <v>SUS304 --&gt; đổi sang AL6061, anode màu xám bạc</v>
      </c>
      <c r="F6" s="24" t="s">
        <v>284</v>
      </c>
      <c r="G6" s="24" t="str">
        <f>VLOOKUP(D6,'Z0000002-502653 BOM triển khai'!$D$3:$K$43,8,0)</f>
        <v>GTAM</v>
      </c>
      <c r="H6" s="24">
        <f t="shared" si="0"/>
        <v>4</v>
      </c>
      <c r="I6" s="24"/>
      <c r="J6" s="24"/>
      <c r="K6" s="24"/>
      <c r="L6" s="24"/>
      <c r="M6" s="24" t="s">
        <v>150</v>
      </c>
      <c r="O6" s="25" t="s">
        <v>150</v>
      </c>
    </row>
    <row r="7" spans="1:15" s="25" customFormat="1" ht="42.6" customHeight="1">
      <c r="A7" s="23" t="s">
        <v>150</v>
      </c>
      <c r="B7" s="20" t="s">
        <v>207</v>
      </c>
      <c r="C7" s="24" t="s">
        <v>152</v>
      </c>
      <c r="D7" s="24" t="s">
        <v>285</v>
      </c>
      <c r="E7" s="24" t="str">
        <f>VLOOKUP(D7,'Z0000002-502653 BOM triển khai'!$D$3:$J$43,2,0)</f>
        <v>Acetal black</v>
      </c>
      <c r="F7" s="24" t="s">
        <v>286</v>
      </c>
      <c r="G7" s="24" t="str">
        <f>VLOOKUP(D7,'Z0000002-502653 BOM triển khai'!$D$3:$K$43,8,0)</f>
        <v>GTAM</v>
      </c>
      <c r="H7" s="24">
        <f t="shared" si="0"/>
        <v>2</v>
      </c>
      <c r="I7" s="24"/>
      <c r="J7" s="24"/>
      <c r="K7" s="24"/>
      <c r="L7" s="24"/>
      <c r="M7" s="24" t="s">
        <v>150</v>
      </c>
      <c r="O7" s="25" t="s">
        <v>150</v>
      </c>
    </row>
    <row r="8" spans="1:15" s="25" customFormat="1" ht="42.6" customHeight="1">
      <c r="A8" s="23" t="s">
        <v>150</v>
      </c>
      <c r="B8" s="20" t="s">
        <v>208</v>
      </c>
      <c r="C8" s="24" t="s">
        <v>152</v>
      </c>
      <c r="D8" s="24" t="s">
        <v>287</v>
      </c>
      <c r="E8" s="24" t="str">
        <f>VLOOKUP(D8,'Z0000002-502653 BOM triển khai'!$D$3:$J$43,2,0)</f>
        <v>Acetal black</v>
      </c>
      <c r="F8" s="24" t="s">
        <v>286</v>
      </c>
      <c r="G8" s="24" t="str">
        <f>VLOOKUP(D8,'Z0000002-502653 BOM triển khai'!$D$3:$K$43,8,0)</f>
        <v>GTAM</v>
      </c>
      <c r="H8" s="24">
        <f t="shared" si="0"/>
        <v>2</v>
      </c>
      <c r="I8" s="24"/>
      <c r="J8" s="24"/>
      <c r="K8" s="24"/>
      <c r="L8" s="24"/>
      <c r="M8" s="24" t="s">
        <v>150</v>
      </c>
      <c r="O8" s="25" t="s">
        <v>150</v>
      </c>
    </row>
    <row r="9" spans="1:15" s="25" customFormat="1" ht="42.6" customHeight="1">
      <c r="A9" s="23" t="s">
        <v>150</v>
      </c>
      <c r="B9" s="20" t="s">
        <v>209</v>
      </c>
      <c r="C9" s="24" t="s">
        <v>245</v>
      </c>
      <c r="D9" s="24" t="s">
        <v>246</v>
      </c>
      <c r="E9" s="24" t="str">
        <f>VLOOKUP(D9,'Z0000002-502653 BOM triển khai'!$D$3:$J$43,2,0)</f>
        <v/>
      </c>
      <c r="F9" s="24" t="s">
        <v>247</v>
      </c>
      <c r="G9" s="24" t="str">
        <f>VLOOKUP(D9,'Z0000002-502653 BOM triển khai'!$D$3:$K$43,8,0)</f>
        <v>Chốt cài</v>
      </c>
      <c r="H9" s="24">
        <f t="shared" si="0"/>
        <v>12</v>
      </c>
      <c r="I9" s="24"/>
      <c r="J9" s="24"/>
      <c r="K9" s="24"/>
      <c r="L9" s="24"/>
      <c r="M9" s="24" t="s">
        <v>150</v>
      </c>
      <c r="O9" s="25" t="s">
        <v>150</v>
      </c>
    </row>
    <row r="10" spans="1:15" s="25" customFormat="1" ht="42.6" customHeight="1">
      <c r="A10" s="23" t="s">
        <v>150</v>
      </c>
      <c r="B10" s="20" t="s">
        <v>210</v>
      </c>
      <c r="C10" s="24" t="s">
        <v>248</v>
      </c>
      <c r="D10" s="24" t="s">
        <v>249</v>
      </c>
      <c r="E10" s="24" t="str">
        <f>VLOOKUP(D10,'Z0000002-502653 BOM triển khai'!$D$3:$J$43,2,0)</f>
        <v/>
      </c>
      <c r="F10" s="24" t="s">
        <v>250</v>
      </c>
      <c r="G10" s="24" t="str">
        <f>VLOOKUP(D10,'Z0000002-502653 BOM triển khai'!$D$3:$K$43,8,0)</f>
        <v>Phanh trục</v>
      </c>
      <c r="H10" s="24">
        <f t="shared" si="0"/>
        <v>24</v>
      </c>
      <c r="I10" s="24"/>
      <c r="J10" s="24"/>
      <c r="K10" s="24"/>
      <c r="L10" s="24"/>
      <c r="M10" s="24" t="s">
        <v>150</v>
      </c>
      <c r="O10" s="25" t="s">
        <v>150</v>
      </c>
    </row>
    <row r="11" spans="1:15" s="25" customFormat="1" ht="42.6" customHeight="1">
      <c r="A11" s="23" t="s">
        <v>150</v>
      </c>
      <c r="B11" s="20" t="s">
        <v>211</v>
      </c>
      <c r="C11" s="24" t="s">
        <v>152</v>
      </c>
      <c r="D11" s="24" t="s">
        <v>251</v>
      </c>
      <c r="E11" s="24" t="str">
        <f>VLOOKUP(D11,'Z0000002-502653 BOM triển khai'!$D$3:$J$43,2,0)</f>
        <v>SUS304</v>
      </c>
      <c r="F11" s="24" t="s">
        <v>252</v>
      </c>
      <c r="G11" s="24" t="str">
        <f>VLOOKUP(D11,'Z0000002-502653 BOM triển khai'!$D$3:$K$43,8,0)</f>
        <v>TT</v>
      </c>
      <c r="H11" s="24">
        <f t="shared" si="0"/>
        <v>2</v>
      </c>
      <c r="I11" s="24"/>
      <c r="J11" s="24"/>
      <c r="K11" s="24"/>
      <c r="L11" s="24"/>
      <c r="M11" s="24" t="s">
        <v>150</v>
      </c>
      <c r="O11" s="25" t="s">
        <v>150</v>
      </c>
    </row>
    <row r="12" spans="1:15" s="25" customFormat="1" ht="42.6" customHeight="1">
      <c r="A12" s="23" t="s">
        <v>150</v>
      </c>
      <c r="B12" s="20" t="s">
        <v>212</v>
      </c>
      <c r="C12" s="24" t="s">
        <v>152</v>
      </c>
      <c r="D12" s="24" t="s">
        <v>253</v>
      </c>
      <c r="E12" s="24" t="str">
        <f>VLOOKUP(D12,'Z0000002-502653 BOM triển khai'!$D$3:$J$43,2,0)</f>
        <v>SUS304</v>
      </c>
      <c r="F12" s="24" t="s">
        <v>254</v>
      </c>
      <c r="G12" s="24" t="str">
        <f>VLOOKUP(D12,'Z0000002-502653 BOM triển khai'!$D$3:$K$43,8,0)</f>
        <v>TT</v>
      </c>
      <c r="H12" s="24">
        <f t="shared" si="0"/>
        <v>2</v>
      </c>
      <c r="I12" s="24"/>
      <c r="J12" s="24"/>
      <c r="K12" s="24"/>
      <c r="L12" s="24"/>
      <c r="M12" s="24" t="s">
        <v>150</v>
      </c>
      <c r="O12" s="25" t="s">
        <v>150</v>
      </c>
    </row>
    <row r="13" spans="1:15" s="25" customFormat="1" ht="42.6" customHeight="1">
      <c r="A13" s="23" t="s">
        <v>150</v>
      </c>
      <c r="B13" s="20" t="s">
        <v>213</v>
      </c>
      <c r="C13" s="24" t="s">
        <v>154</v>
      </c>
      <c r="D13" s="24" t="s">
        <v>259</v>
      </c>
      <c r="E13" s="24" t="str">
        <f>VLOOKUP(D13,'Z0000002-502653 BOM triển khai'!$D$3:$J$43,2,0)</f>
        <v>Vòng bi B6203ZZ --&gt;  đổi sang C-E6203ZZ</v>
      </c>
      <c r="F13" s="24" t="s">
        <v>260</v>
      </c>
      <c r="G13" s="24" t="str">
        <f>VLOOKUP(D13,'Z0000002-502653 BOM triển khai'!$D$3:$K$43,8,0)</f>
        <v>VB</v>
      </c>
      <c r="H13" s="24">
        <f t="shared" si="0"/>
        <v>16</v>
      </c>
      <c r="I13" s="24"/>
      <c r="J13" s="24"/>
      <c r="K13" s="24"/>
      <c r="L13" s="24"/>
      <c r="M13" s="24" t="s">
        <v>150</v>
      </c>
      <c r="O13" s="25" t="s">
        <v>150</v>
      </c>
    </row>
    <row r="14" spans="1:15" s="25" customFormat="1" ht="42.6" customHeight="1">
      <c r="A14" s="23" t="s">
        <v>150</v>
      </c>
      <c r="B14" s="20" t="s">
        <v>214</v>
      </c>
      <c r="C14" s="24" t="s">
        <v>155</v>
      </c>
      <c r="D14" s="24" t="s">
        <v>257</v>
      </c>
      <c r="E14" s="24" t="str">
        <f>VLOOKUP(D14,'Z0000002-502653 BOM triển khai'!$D$3:$J$43,2,0)</f>
        <v>Acetal black</v>
      </c>
      <c r="F14" s="24" t="s">
        <v>258</v>
      </c>
      <c r="G14" s="24" t="str">
        <f>VLOOKUP(D14,'Z0000002-502653 BOM triển khai'!$D$3:$K$43,8,0)</f>
        <v>GTAM</v>
      </c>
      <c r="H14" s="24">
        <f t="shared" si="0"/>
        <v>6</v>
      </c>
      <c r="I14" s="24"/>
      <c r="J14" s="24"/>
      <c r="K14" s="24"/>
      <c r="L14" s="24"/>
      <c r="M14" s="24" t="s">
        <v>150</v>
      </c>
      <c r="O14" s="25" t="s">
        <v>150</v>
      </c>
    </row>
    <row r="15" spans="1:15" s="25" customFormat="1" ht="42.6" customHeight="1">
      <c r="A15" s="23" t="s">
        <v>150</v>
      </c>
      <c r="B15" s="20" t="s">
        <v>215</v>
      </c>
      <c r="C15" s="24" t="s">
        <v>155</v>
      </c>
      <c r="D15" s="24" t="s">
        <v>255</v>
      </c>
      <c r="E15" s="24" t="str">
        <f>VLOOKUP(D15,'Z0000002-502653 BOM triển khai'!$D$3:$J$43,2,0)</f>
        <v>SUS304</v>
      </c>
      <c r="F15" s="24" t="s">
        <v>256</v>
      </c>
      <c r="G15" s="24" t="str">
        <f>VLOOKUP(D15,'Z0000002-502653 BOM triển khai'!$D$3:$K$43,8,0)</f>
        <v>Vitech</v>
      </c>
      <c r="H15" s="24">
        <f t="shared" si="0"/>
        <v>6</v>
      </c>
      <c r="I15" s="24"/>
      <c r="J15" s="24"/>
      <c r="K15" s="24"/>
      <c r="L15" s="24"/>
      <c r="M15" s="24" t="s">
        <v>150</v>
      </c>
      <c r="O15" s="25" t="s">
        <v>150</v>
      </c>
    </row>
    <row r="16" spans="1:15" s="25" customFormat="1" ht="42.6" customHeight="1">
      <c r="A16" s="23" t="s">
        <v>150</v>
      </c>
      <c r="B16" s="20" t="s">
        <v>216</v>
      </c>
      <c r="C16" s="24" t="s">
        <v>151</v>
      </c>
      <c r="D16" s="24" t="s">
        <v>261</v>
      </c>
      <c r="E16" s="24" t="str">
        <f>VLOOKUP(D16,'Z0000002-502653 BOM triển khai'!$D$3:$J$43,2,0)</f>
        <v>SUS304 --&gt; đổi sang AL6061, anode màu xám bạc</v>
      </c>
      <c r="F16" s="24" t="s">
        <v>262</v>
      </c>
      <c r="G16" s="24" t="str">
        <f>VLOOKUP(D16,'Z0000002-502653 BOM triển khai'!$D$3:$K$43,8,0)</f>
        <v>GTAM</v>
      </c>
      <c r="H16" s="24">
        <f t="shared" si="0"/>
        <v>8</v>
      </c>
      <c r="I16" s="24"/>
      <c r="J16" s="24"/>
      <c r="K16" s="24"/>
      <c r="L16" s="24"/>
      <c r="M16" s="24" t="s">
        <v>150</v>
      </c>
      <c r="O16" s="25" t="s">
        <v>150</v>
      </c>
    </row>
    <row r="17" spans="1:15" s="25" customFormat="1" ht="42.6" customHeight="1">
      <c r="A17" s="23" t="s">
        <v>150</v>
      </c>
      <c r="B17" s="20" t="s">
        <v>217</v>
      </c>
      <c r="C17" s="24" t="s">
        <v>152</v>
      </c>
      <c r="D17" s="24" t="s">
        <v>263</v>
      </c>
      <c r="E17" s="24" t="str">
        <f>VLOOKUP(D17,'Z0000002-502653 BOM triển khai'!$D$3:$J$43,2,0)</f>
        <v>AL6061 màu xám bạc</v>
      </c>
      <c r="F17" s="24" t="s">
        <v>264</v>
      </c>
      <c r="G17" s="24" t="str">
        <f>VLOOKUP(D17,'Z0000002-502653 BOM triển khai'!$D$3:$K$43,8,0)</f>
        <v>GTAM</v>
      </c>
      <c r="H17" s="24">
        <f t="shared" si="0"/>
        <v>2</v>
      </c>
      <c r="I17" s="24"/>
      <c r="J17" s="24"/>
      <c r="K17" s="24"/>
      <c r="L17" s="24"/>
      <c r="M17" s="24" t="s">
        <v>150</v>
      </c>
      <c r="O17" s="25" t="s">
        <v>150</v>
      </c>
    </row>
    <row r="18" spans="1:15" s="25" customFormat="1" ht="42.6" customHeight="1">
      <c r="A18" s="23" t="s">
        <v>150</v>
      </c>
      <c r="B18" s="20" t="s">
        <v>218</v>
      </c>
      <c r="C18" s="24" t="s">
        <v>153</v>
      </c>
      <c r="D18" s="24" t="s">
        <v>265</v>
      </c>
      <c r="E18" s="24" t="str">
        <f>VLOOKUP(D18,'Z0000002-502653 BOM triển khai'!$D$3:$J$43,2,0)</f>
        <v>AL6061 màu xám bạc</v>
      </c>
      <c r="F18" s="24" t="s">
        <v>266</v>
      </c>
      <c r="G18" s="24" t="str">
        <f>VLOOKUP(D18,'Z0000002-502653 BOM triển khai'!$D$3:$K$43,8,0)</f>
        <v>GTAM</v>
      </c>
      <c r="H18" s="24">
        <f t="shared" si="0"/>
        <v>4</v>
      </c>
      <c r="I18" s="24"/>
      <c r="J18" s="24"/>
      <c r="K18" s="24"/>
      <c r="L18" s="24"/>
      <c r="M18" s="24" t="s">
        <v>150</v>
      </c>
      <c r="O18" s="25" t="s">
        <v>150</v>
      </c>
    </row>
    <row r="19" spans="1:15" s="25" customFormat="1" ht="42.6" customHeight="1">
      <c r="A19" s="23" t="s">
        <v>150</v>
      </c>
      <c r="B19" s="20" t="s">
        <v>219</v>
      </c>
      <c r="C19" s="24" t="s">
        <v>153</v>
      </c>
      <c r="D19" s="24" t="s">
        <v>267</v>
      </c>
      <c r="E19" s="24" t="str">
        <f>VLOOKUP(D19,'Z0000002-502653 BOM triển khai'!$D$3:$J$43,2,0)</f>
        <v>AL6061 màu xám bạc</v>
      </c>
      <c r="F19" s="24" t="s">
        <v>268</v>
      </c>
      <c r="G19" s="24" t="str">
        <f>VLOOKUP(D19,'Z0000002-502653 BOM triển khai'!$D$3:$K$43,8,0)</f>
        <v>GTAM</v>
      </c>
      <c r="H19" s="24">
        <f t="shared" si="0"/>
        <v>4</v>
      </c>
      <c r="I19" s="24"/>
      <c r="J19" s="24"/>
      <c r="K19" s="24"/>
      <c r="L19" s="24"/>
      <c r="M19" s="24" t="s">
        <v>150</v>
      </c>
      <c r="O19" s="25" t="s">
        <v>150</v>
      </c>
    </row>
    <row r="20" spans="1:15" s="25" customFormat="1" ht="42.6" customHeight="1">
      <c r="A20" s="23" t="s">
        <v>150</v>
      </c>
      <c r="B20" s="20" t="s">
        <v>220</v>
      </c>
      <c r="C20" s="24" t="s">
        <v>153</v>
      </c>
      <c r="D20" s="24" t="s">
        <v>269</v>
      </c>
      <c r="E20" s="24" t="str">
        <f>VLOOKUP(D20,'Z0000002-502653 BOM triển khai'!$D$3:$J$43,2,0)</f>
        <v>Nhôm định hình 60x30mm, chiều dài 629mm</v>
      </c>
      <c r="F20" s="24" t="s">
        <v>270</v>
      </c>
      <c r="G20" s="24" t="str">
        <f>VLOOKUP(D20,'Z0000002-502653 BOM triển khai'!$D$3:$K$43,8,0)</f>
        <v>AL Profile</v>
      </c>
      <c r="H20" s="24">
        <f t="shared" si="0"/>
        <v>4</v>
      </c>
      <c r="I20" s="24"/>
      <c r="J20" s="24"/>
      <c r="K20" s="24"/>
      <c r="L20" s="24"/>
      <c r="M20" s="24" t="s">
        <v>150</v>
      </c>
      <c r="O20" s="25" t="s">
        <v>150</v>
      </c>
    </row>
    <row r="21" spans="1:15" s="25" customFormat="1" ht="42.6" customHeight="1">
      <c r="A21" s="23" t="s">
        <v>150</v>
      </c>
      <c r="B21" s="20" t="s">
        <v>221</v>
      </c>
      <c r="C21" s="24" t="s">
        <v>152</v>
      </c>
      <c r="D21" s="24" t="s">
        <v>271</v>
      </c>
      <c r="E21" s="24" t="str">
        <f>VLOOKUP(D21,'Z0000002-502653 BOM triển khai'!$D$3:$J$43,2,0)</f>
        <v>AL6061 màu xám bạc</v>
      </c>
      <c r="F21" s="24" t="s">
        <v>264</v>
      </c>
      <c r="G21" s="24" t="str">
        <f>VLOOKUP(D21,'Z0000002-502653 BOM triển khai'!$D$3:$K$43,8,0)</f>
        <v>GTAM</v>
      </c>
      <c r="H21" s="24">
        <f t="shared" si="0"/>
        <v>2</v>
      </c>
      <c r="I21" s="24"/>
      <c r="J21" s="24"/>
      <c r="K21" s="24"/>
      <c r="L21" s="24"/>
      <c r="M21" s="24" t="s">
        <v>150</v>
      </c>
      <c r="O21" s="25" t="s">
        <v>150</v>
      </c>
    </row>
    <row r="22" spans="1:15" s="25" customFormat="1" ht="42.6" customHeight="1">
      <c r="A22" s="23" t="s">
        <v>150</v>
      </c>
      <c r="B22" s="20" t="s">
        <v>222</v>
      </c>
      <c r="C22" s="24" t="s">
        <v>153</v>
      </c>
      <c r="D22" s="24" t="s">
        <v>272</v>
      </c>
      <c r="E22" s="24" t="str">
        <f>VLOOKUP(D22,'Z0000002-502653 BOM triển khai'!$D$3:$J$43,2,0)</f>
        <v>AL6061 màu xám bạc</v>
      </c>
      <c r="F22" s="24" t="s">
        <v>266</v>
      </c>
      <c r="G22" s="24" t="str">
        <f>VLOOKUP(D22,'Z0000002-502653 BOM triển khai'!$D$3:$K$43,8,0)</f>
        <v>GTAM</v>
      </c>
      <c r="H22" s="24">
        <f t="shared" si="0"/>
        <v>4</v>
      </c>
      <c r="I22" s="24"/>
      <c r="J22" s="24"/>
      <c r="K22" s="24"/>
      <c r="L22" s="24"/>
      <c r="M22" s="24" t="s">
        <v>150</v>
      </c>
      <c r="O22" s="25" t="s">
        <v>150</v>
      </c>
    </row>
    <row r="23" spans="1:15" s="25" customFormat="1" ht="42.6" customHeight="1">
      <c r="A23" s="23" t="s">
        <v>150</v>
      </c>
      <c r="B23" s="20" t="s">
        <v>223</v>
      </c>
      <c r="C23" s="24" t="s">
        <v>152</v>
      </c>
      <c r="D23" s="24" t="s">
        <v>273</v>
      </c>
      <c r="E23" s="24" t="str">
        <f>VLOOKUP(D23,'Z0000002-502653 BOM triển khai'!$D$3:$J$43,2,0)</f>
        <v>AL6061 màu xám bạc</v>
      </c>
      <c r="F23" s="24" t="s">
        <v>274</v>
      </c>
      <c r="G23" s="24" t="str">
        <f>VLOOKUP(D23,'Z0000002-502653 BOM triển khai'!$D$3:$K$43,8,0)</f>
        <v>GTAM</v>
      </c>
      <c r="H23" s="24">
        <f t="shared" si="0"/>
        <v>2</v>
      </c>
      <c r="I23" s="24"/>
      <c r="J23" s="24"/>
      <c r="K23" s="24"/>
      <c r="L23" s="24"/>
      <c r="M23" s="24" t="s">
        <v>150</v>
      </c>
      <c r="O23" s="25" t="s">
        <v>150</v>
      </c>
    </row>
    <row r="24" spans="1:15" s="25" customFormat="1" ht="42.6" customHeight="1">
      <c r="A24" s="23" t="s">
        <v>150</v>
      </c>
      <c r="B24" s="20" t="s">
        <v>224</v>
      </c>
      <c r="C24" s="24" t="s">
        <v>152</v>
      </c>
      <c r="D24" s="24" t="s">
        <v>275</v>
      </c>
      <c r="E24" s="24" t="str">
        <f>VLOOKUP(D24,'Z0000002-502653 BOM triển khai'!$D$3:$J$43,2,0)</f>
        <v>AL6061 màu xám bạc</v>
      </c>
      <c r="F24" s="24" t="s">
        <v>274</v>
      </c>
      <c r="G24" s="24" t="str">
        <f>VLOOKUP(D24,'Z0000002-502653 BOM triển khai'!$D$3:$K$43,8,0)</f>
        <v>GTAM</v>
      </c>
      <c r="H24" s="24">
        <f t="shared" si="0"/>
        <v>2</v>
      </c>
      <c r="I24" s="24"/>
      <c r="J24" s="24"/>
      <c r="K24" s="24"/>
      <c r="L24" s="24"/>
      <c r="M24" s="24" t="s">
        <v>150</v>
      </c>
      <c r="O24" s="25" t="s">
        <v>150</v>
      </c>
    </row>
    <row r="25" spans="1:15" s="25" customFormat="1" ht="42.6" customHeight="1">
      <c r="A25" s="23" t="s">
        <v>150</v>
      </c>
      <c r="B25" s="20" t="s">
        <v>225</v>
      </c>
      <c r="C25" s="24" t="s">
        <v>153</v>
      </c>
      <c r="D25" s="24" t="s">
        <v>278</v>
      </c>
      <c r="E25" s="24" t="str">
        <f>VLOOKUP(D25,'Z0000002-502653 BOM triển khai'!$D$3:$J$43,2,0)</f>
        <v>SUS304 --&gt; đổi sang AL6061, anode màu xám bạc</v>
      </c>
      <c r="F25" s="24" t="s">
        <v>279</v>
      </c>
      <c r="G25" s="24" t="str">
        <f>VLOOKUP(D25,'Z0000002-502653 BOM triển khai'!$D$3:$K$43,8,0)</f>
        <v>GTAM</v>
      </c>
      <c r="H25" s="24">
        <f t="shared" si="0"/>
        <v>4</v>
      </c>
      <c r="I25" s="24"/>
      <c r="J25" s="24"/>
      <c r="K25" s="24"/>
      <c r="L25" s="24"/>
      <c r="M25" s="24" t="s">
        <v>150</v>
      </c>
      <c r="O25" s="25" t="s">
        <v>150</v>
      </c>
    </row>
    <row r="26" spans="1:15" s="25" customFormat="1" ht="42.6" customHeight="1">
      <c r="A26" s="23" t="s">
        <v>150</v>
      </c>
      <c r="B26" s="20" t="s">
        <v>226</v>
      </c>
      <c r="C26" s="24" t="s">
        <v>245</v>
      </c>
      <c r="D26" s="24" t="s">
        <v>288</v>
      </c>
      <c r="E26" s="24" t="str">
        <f>VLOOKUP(D26,'Z0000002-502653 BOM triển khai'!$D$3:$J$43,2,0)</f>
        <v>HTPA32S5M150-A-N20-FC52.0</v>
      </c>
      <c r="F26" s="24" t="s">
        <v>289</v>
      </c>
      <c r="G26" s="24" t="str">
        <f>VLOOKUP(D26,'Z0000002-502653 BOM triển khai'!$D$3:$K$43,8,0)</f>
        <v>UP</v>
      </c>
      <c r="H26" s="24">
        <f t="shared" si="0"/>
        <v>12</v>
      </c>
      <c r="I26" s="20" t="str">
        <f>'Z0000002-502653 BOM triển khai'!M26</f>
        <v>dđã nhận đủ</v>
      </c>
      <c r="J26" s="24"/>
      <c r="K26" s="24"/>
      <c r="L26" s="24"/>
      <c r="M26" s="24" t="s">
        <v>150</v>
      </c>
      <c r="O26" s="25" t="s">
        <v>150</v>
      </c>
    </row>
    <row r="27" spans="1:15" s="25" customFormat="1" ht="42.6" customHeight="1">
      <c r="A27" s="23" t="s">
        <v>150</v>
      </c>
      <c r="B27" s="20" t="s">
        <v>227</v>
      </c>
      <c r="C27" s="24" t="s">
        <v>248</v>
      </c>
      <c r="D27" s="24" t="s">
        <v>290</v>
      </c>
      <c r="E27" s="24" t="str">
        <f>VLOOKUP(D27,'Z0000002-502653 BOM triển khai'!$D$3:$J$43,2,0)</f>
        <v/>
      </c>
      <c r="F27" s="24" t="s">
        <v>291</v>
      </c>
      <c r="G27" s="24" t="str">
        <f>VLOOKUP(D27,'Z0000002-502653 BOM triển khai'!$D$3:$K$43,8,0)</f>
        <v>Vít trí</v>
      </c>
      <c r="H27" s="24">
        <f t="shared" si="0"/>
        <v>24</v>
      </c>
      <c r="I27" s="24"/>
      <c r="J27" s="24"/>
      <c r="K27" s="24"/>
      <c r="L27" s="24"/>
      <c r="M27" s="24" t="s">
        <v>150</v>
      </c>
      <c r="O27" s="25" t="s">
        <v>150</v>
      </c>
    </row>
    <row r="28" spans="1:15" s="25" customFormat="1" ht="42.6" customHeight="1">
      <c r="A28" s="23" t="s">
        <v>150</v>
      </c>
      <c r="B28" s="20" t="s">
        <v>228</v>
      </c>
      <c r="C28" s="24" t="s">
        <v>245</v>
      </c>
      <c r="D28" s="24" t="s">
        <v>308</v>
      </c>
      <c r="E28" s="24" t="str">
        <f>VLOOKUP(D28,'Z0000002-502653 BOM triển khai'!$D$3:$J$43,2,0)</f>
        <v>SUS304 --&gt; đổi sang AL6061, anode màu xám bạc</v>
      </c>
      <c r="F28" s="24" t="s">
        <v>309</v>
      </c>
      <c r="G28" s="24" t="str">
        <f>VLOOKUP(D28,'Z0000002-502653 BOM triển khai'!$D$3:$K$43,8,0)</f>
        <v>GTAM</v>
      </c>
      <c r="H28" s="24">
        <f t="shared" si="0"/>
        <v>12</v>
      </c>
      <c r="I28" s="24"/>
      <c r="J28" s="24"/>
      <c r="K28" s="24"/>
      <c r="L28" s="24"/>
      <c r="M28" s="24" t="s">
        <v>150</v>
      </c>
      <c r="O28" s="25" t="s">
        <v>150</v>
      </c>
    </row>
    <row r="29" spans="1:15" s="25" customFormat="1" ht="42.6" customHeight="1">
      <c r="A29" s="23" t="s">
        <v>150</v>
      </c>
      <c r="B29" s="20" t="s">
        <v>229</v>
      </c>
      <c r="C29" s="24" t="s">
        <v>155</v>
      </c>
      <c r="D29" s="24" t="s">
        <v>310</v>
      </c>
      <c r="E29" s="24" t="str">
        <f>VLOOKUP(D29,'Z0000002-502653 BOM triển khai'!$D$3:$J$43,2,0)</f>
        <v>SUS304</v>
      </c>
      <c r="F29" s="24" t="s">
        <v>311</v>
      </c>
      <c r="G29" s="24" t="str">
        <f>VLOOKUP(D29,'Z0000002-502653 BOM triển khai'!$D$3:$K$43,8,0)</f>
        <v>CG</v>
      </c>
      <c r="H29" s="24">
        <f t="shared" si="0"/>
        <v>6</v>
      </c>
      <c r="I29" s="24"/>
      <c r="J29" s="24"/>
      <c r="K29" s="24"/>
      <c r="L29" s="24"/>
      <c r="M29" s="24" t="s">
        <v>150</v>
      </c>
      <c r="O29" s="25" t="s">
        <v>150</v>
      </c>
    </row>
    <row r="30" spans="1:15" s="25" customFormat="1" ht="42.6" customHeight="1">
      <c r="A30" s="23" t="s">
        <v>150</v>
      </c>
      <c r="B30" s="20" t="s">
        <v>230</v>
      </c>
      <c r="C30" s="24" t="s">
        <v>245</v>
      </c>
      <c r="D30" s="24" t="s">
        <v>312</v>
      </c>
      <c r="E30" s="24" t="str">
        <f>VLOOKUP(D30,'Z0000002-502653 BOM triển khai'!$D$3:$J$43,2,0)</f>
        <v>SUS304</v>
      </c>
      <c r="F30" s="24" t="s">
        <v>313</v>
      </c>
      <c r="G30" s="20" t="s">
        <v>361</v>
      </c>
      <c r="H30" s="24">
        <f t="shared" si="0"/>
        <v>12</v>
      </c>
      <c r="I30" s="20" t="s">
        <v>362</v>
      </c>
      <c r="J30" s="24"/>
      <c r="K30" s="24"/>
      <c r="L30" s="24"/>
      <c r="M30" s="24" t="s">
        <v>150</v>
      </c>
      <c r="O30" s="25" t="s">
        <v>150</v>
      </c>
    </row>
    <row r="31" spans="1:15" s="25" customFormat="1" ht="42.6" customHeight="1">
      <c r="A31" s="23" t="s">
        <v>150</v>
      </c>
      <c r="B31" s="20" t="s">
        <v>231</v>
      </c>
      <c r="C31" s="24" t="s">
        <v>245</v>
      </c>
      <c r="D31" s="24" t="s">
        <v>314</v>
      </c>
      <c r="E31" s="24" t="str">
        <f>VLOOKUP(D31,'Z0000002-502653 BOM triển khai'!$D$3:$J$43,2,0)</f>
        <v>SUS304</v>
      </c>
      <c r="F31" s="24" t="s">
        <v>315</v>
      </c>
      <c r="G31" s="24" t="str">
        <f>VLOOKUP(D31,'Z0000002-502653 BOM triển khai'!$D$3:$K$43,8,0)</f>
        <v>Vitech</v>
      </c>
      <c r="H31" s="24">
        <f t="shared" si="0"/>
        <v>12</v>
      </c>
      <c r="I31" s="24"/>
      <c r="J31" s="24"/>
      <c r="K31" s="24"/>
      <c r="L31" s="24"/>
      <c r="M31" s="24" t="s">
        <v>150</v>
      </c>
      <c r="O31" s="25" t="s">
        <v>150</v>
      </c>
    </row>
    <row r="32" spans="1:15" s="25" customFormat="1" ht="42.6" customHeight="1">
      <c r="A32" s="23" t="s">
        <v>150</v>
      </c>
      <c r="B32" s="20" t="s">
        <v>232</v>
      </c>
      <c r="C32" s="24" t="s">
        <v>155</v>
      </c>
      <c r="D32" s="24" t="s">
        <v>316</v>
      </c>
      <c r="E32" s="24" t="str">
        <f>VLOOKUP(D32,'Z0000002-502653 BOM triển khai'!$D$3:$J$43,2,0)</f>
        <v>SUS304</v>
      </c>
      <c r="F32" s="24" t="s">
        <v>317</v>
      </c>
      <c r="G32" s="24" t="str">
        <f>VLOOKUP(D32,'Z0000002-502653 BOM triển khai'!$D$3:$K$43,8,0)</f>
        <v>CG</v>
      </c>
      <c r="H32" s="24">
        <f t="shared" si="0"/>
        <v>6</v>
      </c>
      <c r="I32" s="24"/>
      <c r="J32" s="24"/>
      <c r="K32" s="24"/>
      <c r="L32" s="24"/>
      <c r="M32" s="24" t="s">
        <v>150</v>
      </c>
      <c r="O32" s="25" t="s">
        <v>150</v>
      </c>
    </row>
    <row r="33" spans="1:15" s="25" customFormat="1" ht="42.6" customHeight="1">
      <c r="A33" s="23" t="s">
        <v>150</v>
      </c>
      <c r="B33" s="20" t="s">
        <v>233</v>
      </c>
      <c r="C33" s="24" t="s">
        <v>153</v>
      </c>
      <c r="D33" s="24" t="s">
        <v>318</v>
      </c>
      <c r="E33" s="24" t="str">
        <f>VLOOKUP(D33,'Z0000002-502653 BOM triển khai'!$D$3:$J$43,2,0)</f>
        <v>SUS304, trục lục giác</v>
      </c>
      <c r="F33" s="24" t="s">
        <v>319</v>
      </c>
      <c r="G33" s="24" t="str">
        <f>VLOOKUP(D33,'Z0000002-502653 BOM triển khai'!$D$3:$K$43,8,0)</f>
        <v>Vitech</v>
      </c>
      <c r="H33" s="24">
        <f t="shared" si="0"/>
        <v>4</v>
      </c>
      <c r="I33" s="24"/>
      <c r="J33" s="24"/>
      <c r="K33" s="24"/>
      <c r="L33" s="24"/>
      <c r="M33" s="24" t="s">
        <v>150</v>
      </c>
      <c r="O33" s="25" t="s">
        <v>150</v>
      </c>
    </row>
    <row r="34" spans="1:15" s="25" customFormat="1" ht="42.6" customHeight="1">
      <c r="A34" s="23" t="s">
        <v>150</v>
      </c>
      <c r="B34" s="20" t="s">
        <v>234</v>
      </c>
      <c r="C34" s="24" t="s">
        <v>151</v>
      </c>
      <c r="D34" s="24" t="s">
        <v>320</v>
      </c>
      <c r="E34" s="24" t="str">
        <f>VLOOKUP(D34,'Z0000002-502653 BOM triển khai'!$D$3:$J$43,2,0)</f>
        <v>Vòng đệm</v>
      </c>
      <c r="F34" s="24" t="s">
        <v>321</v>
      </c>
      <c r="G34" s="24" t="str">
        <f>VLOOKUP(D34,'Z0000002-502653 BOM triển khai'!$D$3:$K$43,8,0)</f>
        <v>Bulong/ đệm</v>
      </c>
      <c r="H34" s="24">
        <f t="shared" si="0"/>
        <v>8</v>
      </c>
      <c r="I34" s="24"/>
      <c r="J34" s="24"/>
      <c r="K34" s="24"/>
      <c r="L34" s="24"/>
      <c r="M34" s="24" t="s">
        <v>150</v>
      </c>
      <c r="O34" s="25" t="s">
        <v>150</v>
      </c>
    </row>
    <row r="35" spans="1:15" s="25" customFormat="1" ht="42.6" customHeight="1">
      <c r="A35" s="23" t="s">
        <v>150</v>
      </c>
      <c r="B35" s="20" t="s">
        <v>235</v>
      </c>
      <c r="C35" s="24" t="s">
        <v>151</v>
      </c>
      <c r="D35" s="24" t="s">
        <v>322</v>
      </c>
      <c r="E35" s="24" t="str">
        <f>VLOOKUP(D35,'Z0000002-502653 BOM triển khai'!$D$3:$J$43,2,0)</f>
        <v>Vòng đệm</v>
      </c>
      <c r="F35" s="24" t="s">
        <v>323</v>
      </c>
      <c r="G35" s="24" t="str">
        <f>VLOOKUP(D35,'Z0000002-502653 BOM triển khai'!$D$3:$K$43,8,0)</f>
        <v>Bulong/ đệm</v>
      </c>
      <c r="H35" s="24">
        <f t="shared" si="0"/>
        <v>8</v>
      </c>
      <c r="I35" s="24"/>
      <c r="J35" s="24"/>
      <c r="K35" s="24"/>
      <c r="L35" s="24"/>
      <c r="M35" s="24" t="s">
        <v>150</v>
      </c>
      <c r="O35" s="25" t="s">
        <v>150</v>
      </c>
    </row>
    <row r="36" spans="1:15" s="25" customFormat="1" ht="42.6" customHeight="1">
      <c r="A36" s="23" t="s">
        <v>150</v>
      </c>
      <c r="B36" s="20" t="s">
        <v>236</v>
      </c>
      <c r="C36" s="24" t="s">
        <v>153</v>
      </c>
      <c r="D36" s="24" t="s">
        <v>292</v>
      </c>
      <c r="E36" s="24" t="str">
        <f>VLOOKUP(D36,'Z0000002-502653 BOM triển khai'!$D$3:$J$43,2,0)</f>
        <v>HTPA20S5M150-A-N12</v>
      </c>
      <c r="F36" s="24" t="s">
        <v>293</v>
      </c>
      <c r="G36" s="24" t="str">
        <f>VLOOKUP(D36,'Z0000002-502653 BOM triển khai'!$D$3:$K$43,8,0)</f>
        <v>UP</v>
      </c>
      <c r="H36" s="24">
        <f t="shared" si="0"/>
        <v>4</v>
      </c>
      <c r="I36" s="24" t="str">
        <f>I26</f>
        <v>dđã nhận đủ</v>
      </c>
      <c r="J36" s="24"/>
      <c r="K36" s="24"/>
      <c r="L36" s="24"/>
      <c r="M36" s="24" t="s">
        <v>150</v>
      </c>
      <c r="O36" s="25" t="s">
        <v>150</v>
      </c>
    </row>
    <row r="37" spans="1:15" s="25" customFormat="1" ht="42.6" customHeight="1">
      <c r="A37" s="23" t="s">
        <v>150</v>
      </c>
      <c r="B37" s="20" t="s">
        <v>237</v>
      </c>
      <c r="C37" s="24" t="s">
        <v>151</v>
      </c>
      <c r="D37" s="24" t="s">
        <v>294</v>
      </c>
      <c r="E37" s="24" t="str">
        <f>VLOOKUP(D37,'Z0000002-502653 BOM triển khai'!$D$3:$J$43,2,0)</f>
        <v/>
      </c>
      <c r="F37" s="24" t="s">
        <v>295</v>
      </c>
      <c r="G37" s="24" t="str">
        <f>VLOOKUP(D37,'Z0000002-502653 BOM triển khai'!$D$3:$K$43,8,0)</f>
        <v>Vít trí</v>
      </c>
      <c r="H37" s="24">
        <f t="shared" si="0"/>
        <v>8</v>
      </c>
      <c r="I37" s="24"/>
      <c r="J37" s="24"/>
      <c r="K37" s="24"/>
      <c r="L37" s="24"/>
      <c r="M37" s="24" t="s">
        <v>150</v>
      </c>
      <c r="O37" s="25" t="s">
        <v>150</v>
      </c>
    </row>
    <row r="38" spans="1:15" s="25" customFormat="1" ht="42.6" customHeight="1">
      <c r="A38" s="23" t="s">
        <v>150</v>
      </c>
      <c r="B38" s="20" t="s">
        <v>238</v>
      </c>
      <c r="C38" s="24" t="s">
        <v>152</v>
      </c>
      <c r="D38" s="24" t="s">
        <v>296</v>
      </c>
      <c r="E38" s="24" t="str">
        <f>VLOOKUP(D38,'Z0000002-502653 BOM triển khai'!$D$3:$J$43,2,0)</f>
        <v>Mica trong</v>
      </c>
      <c r="F38" s="24" t="s">
        <v>297</v>
      </c>
      <c r="G38" s="24" t="str">
        <f>VLOOKUP(D38,'Z0000002-502653 BOM triển khai'!$D$3:$K$43,8,0)</f>
        <v>GTAM</v>
      </c>
      <c r="H38" s="24">
        <f t="shared" si="0"/>
        <v>2</v>
      </c>
      <c r="I38" s="24"/>
      <c r="J38" s="24"/>
      <c r="K38" s="24"/>
      <c r="L38" s="24"/>
      <c r="M38" s="24" t="s">
        <v>150</v>
      </c>
      <c r="O38" s="25" t="s">
        <v>150</v>
      </c>
    </row>
    <row r="39" spans="1:15" s="25" customFormat="1" ht="42.6" customHeight="1">
      <c r="A39" s="23" t="s">
        <v>150</v>
      </c>
      <c r="B39" s="20" t="s">
        <v>239</v>
      </c>
      <c r="C39" s="24" t="s">
        <v>152</v>
      </c>
      <c r="D39" s="24" t="s">
        <v>298</v>
      </c>
      <c r="E39" s="24" t="str">
        <f>VLOOKUP(D39,'Z0000002-502653 BOM triển khai'!$D$3:$J$43,2,0)</f>
        <v>SUS304</v>
      </c>
      <c r="F39" s="24" t="s">
        <v>299</v>
      </c>
      <c r="G39" s="24" t="str">
        <f>VLOOKUP(D39,'Z0000002-502653 BOM triển khai'!$D$3:$K$43,8,0)</f>
        <v>CG</v>
      </c>
      <c r="H39" s="24">
        <f t="shared" si="0"/>
        <v>2</v>
      </c>
      <c r="I39" s="24"/>
      <c r="J39" s="24"/>
      <c r="K39" s="24"/>
      <c r="L39" s="24"/>
      <c r="M39" s="24" t="s">
        <v>150</v>
      </c>
      <c r="O39" s="25" t="s">
        <v>150</v>
      </c>
    </row>
    <row r="40" spans="1:15" s="25" customFormat="1" ht="42.6" customHeight="1">
      <c r="A40" s="23" t="s">
        <v>150</v>
      </c>
      <c r="B40" s="20" t="s">
        <v>240</v>
      </c>
      <c r="C40" s="24" t="s">
        <v>152</v>
      </c>
      <c r="D40" s="20" t="s">
        <v>324</v>
      </c>
      <c r="E40" s="24" t="e">
        <f>VLOOKUP(D40,'Z0000002-502653 BOM triển khai'!$D$3:$J$43,2,0)</f>
        <v>#N/A</v>
      </c>
      <c r="F40" s="24" t="s">
        <v>301</v>
      </c>
      <c r="G40" s="24" t="str">
        <f>'Z0000002-502653 BOM triển khai'!K32</f>
        <v>Vitech</v>
      </c>
      <c r="H40" s="24">
        <f t="shared" si="0"/>
        <v>2</v>
      </c>
      <c r="I40" s="24"/>
      <c r="J40" s="24"/>
      <c r="K40" s="24"/>
      <c r="L40" s="24"/>
      <c r="M40" s="24" t="s">
        <v>150</v>
      </c>
      <c r="O40" s="25" t="s">
        <v>150</v>
      </c>
    </row>
    <row r="41" spans="1:15" s="25" customFormat="1" ht="42.6" customHeight="1">
      <c r="A41" s="23" t="s">
        <v>150</v>
      </c>
      <c r="B41" s="20" t="s">
        <v>241</v>
      </c>
      <c r="C41" s="24" t="s">
        <v>152</v>
      </c>
      <c r="D41" s="20" t="s">
        <v>302</v>
      </c>
      <c r="E41" s="24" t="str">
        <f>VLOOKUP(D41,'Z0000002-502653 BOM triển khai'!$D$3:$J$43,2,0)</f>
        <v>HTBN300S5M-150, đổi sang C-HTBN300S5M-150</v>
      </c>
      <c r="F41" s="24" t="s">
        <v>303</v>
      </c>
      <c r="G41" s="24" t="str">
        <f>VLOOKUP(D41,'Z0000002-502653 BOM triển khai'!$D$3:$K$43,8,0)</f>
        <v>MI</v>
      </c>
      <c r="H41" s="24">
        <f t="shared" si="0"/>
        <v>2</v>
      </c>
      <c r="I41" s="24" t="str">
        <f>I3</f>
        <v>ducpt đã nhận hàng 27/3</v>
      </c>
      <c r="J41" s="24"/>
      <c r="K41" s="24"/>
      <c r="L41" s="24"/>
      <c r="M41" s="24" t="s">
        <v>150</v>
      </c>
      <c r="O41" s="25" t="s">
        <v>150</v>
      </c>
    </row>
    <row r="42" spans="1:15" s="25" customFormat="1" ht="42.6" customHeight="1">
      <c r="A42" s="23" t="s">
        <v>150</v>
      </c>
      <c r="B42" s="20" t="s">
        <v>242</v>
      </c>
      <c r="C42" s="24" t="s">
        <v>152</v>
      </c>
      <c r="D42" s="24" t="s">
        <v>304</v>
      </c>
      <c r="E42" s="24" t="str">
        <f>VLOOKUP(D42,'Z0000002-502653 BOM triển khai'!$D$3:$J$43,2,0)</f>
        <v/>
      </c>
      <c r="F42" s="24" t="s">
        <v>305</v>
      </c>
      <c r="G42" s="24" t="str">
        <f>VLOOKUP(D42,'Z0000002-502653 BOM triển khai'!$D$3:$K$43,8,0)</f>
        <v>SPG</v>
      </c>
      <c r="H42" s="24">
        <f t="shared" si="0"/>
        <v>2</v>
      </c>
      <c r="I42" s="20" t="s">
        <v>367</v>
      </c>
      <c r="J42" s="24"/>
      <c r="K42" s="24"/>
      <c r="L42" s="24"/>
      <c r="M42" s="24" t="s">
        <v>150</v>
      </c>
      <c r="O42" s="25" t="s">
        <v>150</v>
      </c>
    </row>
    <row r="43" spans="1:15" s="25" customFormat="1" ht="42.6" customHeight="1">
      <c r="A43" s="23" t="s">
        <v>150</v>
      </c>
      <c r="B43" s="20" t="s">
        <v>243</v>
      </c>
      <c r="C43" s="24" t="s">
        <v>152</v>
      </c>
      <c r="D43" s="24" t="s">
        <v>306</v>
      </c>
      <c r="E43" s="24" t="str">
        <f>VLOOKUP(D43,'Z0000002-502653 BOM triển khai'!$D$3:$J$43,2,0)</f>
        <v/>
      </c>
      <c r="F43" s="24" t="s">
        <v>307</v>
      </c>
      <c r="G43" s="24" t="str">
        <f>VLOOKUP(D43,'Z0000002-502653 BOM triển khai'!$D$3:$K$43,8,0)</f>
        <v>SPG</v>
      </c>
      <c r="H43" s="24">
        <f t="shared" si="0"/>
        <v>2</v>
      </c>
      <c r="I43" s="24" t="str">
        <f>I42</f>
        <v>đã báo a VA đặt hàng</v>
      </c>
      <c r="J43" s="24"/>
      <c r="K43" s="24"/>
      <c r="L43" s="24"/>
      <c r="M43" s="24" t="s">
        <v>150</v>
      </c>
      <c r="O43" s="25" t="s">
        <v>150</v>
      </c>
    </row>
    <row r="44" spans="1:15" ht="15.6">
      <c r="H44" s="24">
        <f t="shared" si="0"/>
        <v>0</v>
      </c>
    </row>
    <row r="47" spans="1:15">
      <c r="G47" s="29" t="str">
        <f>'Z0000002-502653 BOM triển khai'!L46</f>
        <v>AL Profile</v>
      </c>
      <c r="H47" s="29" t="str">
        <f>'Z0000002-502653 BOM triển khai'!M46</f>
        <v>10/4 đã nhận hàng</v>
      </c>
      <c r="I47" s="29"/>
    </row>
    <row r="48" spans="1:15">
      <c r="G48" s="29" t="str">
        <f>'Z0000002-502653 BOM triển khai'!L47</f>
        <v>Bulong/ đệm</v>
      </c>
      <c r="H48" s="29" t="str">
        <f>'Z0000002-502653 BOM triển khai'!M47</f>
        <v>đã tồn kho sẵn</v>
      </c>
      <c r="I48" s="29"/>
    </row>
    <row r="49" spans="7:9">
      <c r="G49" s="29" t="str">
        <f>'Z0000002-502653 BOM triển khai'!L48</f>
        <v>Phanh trục</v>
      </c>
      <c r="H49" s="29" t="str">
        <f>'Z0000002-502653 BOM triển khai'!M48</f>
        <v>đã tồn kho sẵn</v>
      </c>
      <c r="I49" s="29"/>
    </row>
    <row r="50" spans="7:9">
      <c r="G50" s="29" t="str">
        <f>'Z0000002-502653 BOM triển khai'!L49</f>
        <v>CG</v>
      </c>
      <c r="H50" s="29" t="str">
        <f>'Z0000002-502653 BOM triển khai'!M49</f>
        <v>Nguyện đặt NCC nào đó</v>
      </c>
      <c r="I50" s="29"/>
    </row>
    <row r="51" spans="7:9">
      <c r="G51" s="29" t="str">
        <f>'Z0000002-502653 BOM triển khai'!L50</f>
        <v>GTAM</v>
      </c>
      <c r="H51" s="29">
        <f>'Z0000002-502653 BOM triển khai'!M50</f>
        <v>0</v>
      </c>
      <c r="I51" s="29"/>
    </row>
    <row r="52" spans="7:9">
      <c r="G52" s="29" t="str">
        <f>G30</f>
        <v>TIE</v>
      </c>
      <c r="H52" s="29" t="str">
        <f>'Z0000002-502653 BOM triển khai'!M51</f>
        <v>chưa có data, sẽ có NCC mới</v>
      </c>
      <c r="I52" s="29"/>
    </row>
    <row r="53" spans="7:9">
      <c r="G53" s="29" t="str">
        <f>'Z0000002-502653 BOM triển khai'!L52</f>
        <v>MI</v>
      </c>
      <c r="H53" s="29" t="str">
        <f>'Z0000002-502653 BOM triển khai'!M52</f>
        <v>ducpt đã nhận hàng 27/3</v>
      </c>
      <c r="I53" s="29"/>
    </row>
    <row r="54" spans="7:9">
      <c r="G54" s="29" t="str">
        <f>'Z0000002-502653 BOM triển khai'!L53</f>
        <v>TT</v>
      </c>
      <c r="H54" s="29" t="str">
        <f>'Z0000002-502653 BOM triển khai'!M53</f>
        <v>đã yc gửi data/ có thể lv với NCC mới</v>
      </c>
      <c r="I54" s="29"/>
    </row>
    <row r="55" spans="7:9">
      <c r="G55" s="29" t="str">
        <f>'Z0000002-502653 BOM triển khai'!L54</f>
        <v>SPG</v>
      </c>
      <c r="H55" s="29" t="str">
        <f>'Z0000002-502653 BOM triển khai'!M54</f>
        <v>đaã đặt Thế Long, 18/4 giao</v>
      </c>
      <c r="I55" s="29"/>
    </row>
    <row r="56" spans="7:9">
      <c r="G56" s="29" t="str">
        <f>'Z0000002-502653 BOM triển khai'!L55</f>
        <v>UP</v>
      </c>
      <c r="H56" s="29" t="str">
        <f>'Z0000002-502653 BOM triển khai'!M55</f>
        <v>dđã nhận đủ</v>
      </c>
      <c r="I56" s="29"/>
    </row>
    <row r="57" spans="7:9">
      <c r="G57" s="29" t="str">
        <f>'Z0000002-502653 BOM triển khai'!L56</f>
        <v>VB</v>
      </c>
      <c r="H57" s="29" t="str">
        <f>'Z0000002-502653 BOM triển khai'!M56</f>
        <v>hàng đã về 27/3</v>
      </c>
      <c r="I57" s="29"/>
    </row>
    <row r="58" spans="7:9">
      <c r="G58" s="29" t="str">
        <f>'Z0000002-502653 BOM triển khai'!L57</f>
        <v>Vít trí</v>
      </c>
      <c r="H58" s="29" t="str">
        <f>'Z0000002-502653 BOM triển khai'!M57</f>
        <v>tồn kho sẵn</v>
      </c>
      <c r="I58" s="29"/>
    </row>
    <row r="59" spans="7:9">
      <c r="G59" s="29" t="str">
        <f>'Z0000002-502653 BOM triển khai'!L58</f>
        <v>Vitech</v>
      </c>
      <c r="H59" s="29" t="str">
        <f>'Z0000002-502653 BOM triển khai'!M58</f>
        <v>chưa gửi data</v>
      </c>
      <c r="I59" s="29"/>
    </row>
  </sheetData>
  <autoFilter ref="D2:H44" xr:uid="{E0590D38-2BE4-4F40-AD41-4DCE3F208926}"/>
  <phoneticPr fontId="18" type="noConversion"/>
  <conditionalFormatting sqref="F1:F1048576">
    <cfRule type="duplicateValues" dxfId="1" priority="1"/>
  </conditionalFormatting>
  <conditionalFormatting sqref="J1:L1 L2 J3:L1048576">
    <cfRule type="duplicateValues" dxfId="0" priority="2"/>
  </conditionalFormatting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ABD2-FEC4-493D-8D87-FB392994E572}">
  <sheetPr>
    <tabColor theme="0" tint="-0.499984740745262"/>
  </sheetPr>
  <dimension ref="A2:J71"/>
  <sheetViews>
    <sheetView showGridLines="0" workbookViewId="0">
      <selection activeCell="D40" sqref="D40"/>
    </sheetView>
  </sheetViews>
  <sheetFormatPr defaultRowHeight="14.4"/>
  <cols>
    <col min="2" max="2" width="15" customWidth="1"/>
    <col min="3" max="3" width="27.21875" bestFit="1" customWidth="1"/>
    <col min="4" max="4" width="30.5546875" customWidth="1"/>
    <col min="5" max="5" width="22.109375" style="9" customWidth="1"/>
    <col min="8" max="10" width="25.44140625" customWidth="1"/>
  </cols>
  <sheetData>
    <row r="2" spans="1:10" ht="15.6">
      <c r="B2" s="7" t="s">
        <v>100</v>
      </c>
      <c r="C2" s="7" t="s">
        <v>99</v>
      </c>
      <c r="D2" s="8" t="s">
        <v>98</v>
      </c>
      <c r="E2" s="15" t="s">
        <v>140</v>
      </c>
      <c r="H2" s="7" t="s">
        <v>130</v>
      </c>
      <c r="I2" s="8" t="s">
        <v>98</v>
      </c>
      <c r="J2" s="14" t="s">
        <v>139</v>
      </c>
    </row>
    <row r="3" spans="1:10">
      <c r="A3">
        <v>1.51</v>
      </c>
      <c r="B3" s="3" t="s">
        <v>4</v>
      </c>
      <c r="C3" s="1" t="s">
        <v>4</v>
      </c>
      <c r="D3" s="5" t="s">
        <v>5</v>
      </c>
      <c r="E3" s="10">
        <v>125000</v>
      </c>
      <c r="H3" s="1" t="s">
        <v>102</v>
      </c>
      <c r="I3" s="5"/>
      <c r="J3" s="11">
        <v>200000</v>
      </c>
    </row>
    <row r="4" spans="1:10">
      <c r="B4" s="3"/>
      <c r="C4" s="1" t="s">
        <v>6</v>
      </c>
      <c r="D4" s="5" t="s">
        <v>7</v>
      </c>
      <c r="E4" s="10">
        <v>300000</v>
      </c>
      <c r="H4" s="3" t="s">
        <v>103</v>
      </c>
      <c r="I4" s="13" t="s">
        <v>104</v>
      </c>
      <c r="J4" s="12">
        <v>150000</v>
      </c>
    </row>
    <row r="5" spans="1:10">
      <c r="B5" s="3"/>
      <c r="C5" s="1" t="s">
        <v>8</v>
      </c>
      <c r="D5" s="5" t="s">
        <v>9</v>
      </c>
      <c r="E5" s="10">
        <v>310000</v>
      </c>
      <c r="H5" s="1" t="s">
        <v>105</v>
      </c>
      <c r="I5" s="5" t="s">
        <v>106</v>
      </c>
      <c r="J5" s="11">
        <v>200000</v>
      </c>
    </row>
    <row r="6" spans="1:10">
      <c r="A6">
        <v>1.51</v>
      </c>
      <c r="B6" s="4" t="s">
        <v>10</v>
      </c>
      <c r="C6" s="2" t="s">
        <v>10</v>
      </c>
      <c r="D6" s="6" t="s">
        <v>11</v>
      </c>
      <c r="E6" s="10">
        <v>185000</v>
      </c>
      <c r="H6" s="1" t="s">
        <v>107</v>
      </c>
      <c r="I6" s="5" t="s">
        <v>108</v>
      </c>
      <c r="J6" s="11">
        <v>200000</v>
      </c>
    </row>
    <row r="7" spans="1:10">
      <c r="B7" s="3"/>
      <c r="C7" s="1" t="s">
        <v>12</v>
      </c>
      <c r="D7" s="5" t="s">
        <v>13</v>
      </c>
      <c r="E7" s="10">
        <v>312000</v>
      </c>
      <c r="H7" s="1" t="s">
        <v>109</v>
      </c>
      <c r="I7" s="5" t="s">
        <v>110</v>
      </c>
      <c r="J7" s="11">
        <v>200000</v>
      </c>
    </row>
    <row r="8" spans="1:10">
      <c r="B8" s="3"/>
      <c r="C8" s="1" t="s">
        <v>97</v>
      </c>
      <c r="D8" s="5" t="s">
        <v>14</v>
      </c>
      <c r="E8" s="10">
        <v>322000</v>
      </c>
      <c r="H8" s="1" t="s">
        <v>111</v>
      </c>
      <c r="I8" s="5" t="s">
        <v>112</v>
      </c>
      <c r="J8" s="11"/>
    </row>
    <row r="9" spans="1:10">
      <c r="B9" s="4" t="s">
        <v>3</v>
      </c>
      <c r="C9" s="2" t="s">
        <v>3</v>
      </c>
      <c r="D9" s="6" t="s">
        <v>15</v>
      </c>
      <c r="E9" s="10"/>
      <c r="H9" s="1" t="s">
        <v>113</v>
      </c>
      <c r="I9" s="5"/>
      <c r="J9" s="11"/>
    </row>
    <row r="10" spans="1:10">
      <c r="B10" s="4" t="s">
        <v>1</v>
      </c>
      <c r="C10" s="2" t="s">
        <v>1</v>
      </c>
      <c r="D10" s="6" t="s">
        <v>133</v>
      </c>
      <c r="E10" s="10"/>
      <c r="H10" s="1" t="s">
        <v>114</v>
      </c>
      <c r="I10" s="5"/>
      <c r="J10" s="11"/>
    </row>
    <row r="11" spans="1:10">
      <c r="A11">
        <v>1.42</v>
      </c>
      <c r="B11" s="4" t="s">
        <v>16</v>
      </c>
      <c r="C11" s="2" t="s">
        <v>16</v>
      </c>
      <c r="D11" s="6" t="s">
        <v>17</v>
      </c>
      <c r="E11" s="10">
        <v>72000</v>
      </c>
      <c r="H11" s="1" t="s">
        <v>115</v>
      </c>
      <c r="I11" s="5" t="s">
        <v>116</v>
      </c>
      <c r="J11" s="11"/>
    </row>
    <row r="12" spans="1:10">
      <c r="B12" s="3"/>
      <c r="C12" s="1" t="s">
        <v>18</v>
      </c>
      <c r="D12" s="5" t="s">
        <v>19</v>
      </c>
      <c r="E12" s="10"/>
      <c r="H12" s="1" t="s">
        <v>117</v>
      </c>
      <c r="I12" s="5"/>
      <c r="J12" s="11"/>
    </row>
    <row r="13" spans="1:10">
      <c r="A13">
        <v>1.2</v>
      </c>
      <c r="B13" s="4" t="s">
        <v>20</v>
      </c>
      <c r="C13" s="2" t="s">
        <v>20</v>
      </c>
      <c r="D13" s="6" t="s">
        <v>21</v>
      </c>
      <c r="E13" s="10">
        <v>120000</v>
      </c>
      <c r="H13" s="1" t="s">
        <v>118</v>
      </c>
      <c r="I13" s="5" t="s">
        <v>132</v>
      </c>
      <c r="J13" s="11">
        <v>200000</v>
      </c>
    </row>
    <row r="14" spans="1:10">
      <c r="B14" s="3"/>
      <c r="C14" s="1" t="s">
        <v>22</v>
      </c>
      <c r="D14" s="5" t="s">
        <v>23</v>
      </c>
      <c r="E14" s="10"/>
      <c r="H14" s="1" t="s">
        <v>119</v>
      </c>
      <c r="I14" s="5"/>
      <c r="J14" s="11" t="s">
        <v>138</v>
      </c>
    </row>
    <row r="15" spans="1:10">
      <c r="B15" s="3"/>
      <c r="C15" s="1" t="s">
        <v>24</v>
      </c>
      <c r="D15" s="5"/>
      <c r="E15" s="10"/>
      <c r="H15" s="1" t="s">
        <v>120</v>
      </c>
      <c r="I15" s="5" t="s">
        <v>131</v>
      </c>
      <c r="J15" s="11"/>
    </row>
    <row r="16" spans="1:10">
      <c r="B16" s="3"/>
      <c r="C16" s="1" t="s">
        <v>25</v>
      </c>
      <c r="D16" s="5"/>
      <c r="E16" s="10"/>
      <c r="H16" s="1" t="s">
        <v>121</v>
      </c>
      <c r="I16" s="5" t="s">
        <v>122</v>
      </c>
      <c r="J16" s="11"/>
    </row>
    <row r="17" spans="1:10">
      <c r="B17" s="3"/>
      <c r="C17" s="1" t="s">
        <v>26</v>
      </c>
      <c r="D17" s="5"/>
      <c r="E17" s="10">
        <v>250000</v>
      </c>
      <c r="H17" s="1" t="s">
        <v>123</v>
      </c>
      <c r="I17" s="5"/>
      <c r="J17" s="11"/>
    </row>
    <row r="18" spans="1:10">
      <c r="A18">
        <v>2.2999999999999998</v>
      </c>
      <c r="B18" s="4" t="s">
        <v>27</v>
      </c>
      <c r="C18" s="2" t="s">
        <v>27</v>
      </c>
      <c r="D18" s="6" t="s">
        <v>28</v>
      </c>
      <c r="E18" s="10">
        <v>285000</v>
      </c>
      <c r="H18" s="1" t="s">
        <v>124</v>
      </c>
      <c r="I18" s="5"/>
      <c r="J18" s="11"/>
    </row>
    <row r="19" spans="1:10">
      <c r="B19" s="3"/>
      <c r="C19" s="1" t="s">
        <v>134</v>
      </c>
      <c r="D19" s="5" t="s">
        <v>29</v>
      </c>
      <c r="E19" s="10"/>
      <c r="H19" s="1" t="s">
        <v>125</v>
      </c>
      <c r="I19" s="5"/>
      <c r="J19" s="11"/>
    </row>
    <row r="20" spans="1:10">
      <c r="A20">
        <v>1.51</v>
      </c>
      <c r="B20" s="4" t="s">
        <v>30</v>
      </c>
      <c r="C20" s="2" t="s">
        <v>30</v>
      </c>
      <c r="D20" s="6" t="s">
        <v>31</v>
      </c>
      <c r="E20" s="10">
        <v>100000</v>
      </c>
      <c r="H20" s="1" t="s">
        <v>126</v>
      </c>
      <c r="I20" s="5"/>
      <c r="J20" s="11"/>
    </row>
    <row r="21" spans="1:10">
      <c r="B21" s="3"/>
      <c r="C21" s="1" t="s">
        <v>32</v>
      </c>
      <c r="D21" s="5" t="s">
        <v>33</v>
      </c>
      <c r="E21" s="10">
        <v>114000</v>
      </c>
      <c r="H21" s="1" t="s">
        <v>127</v>
      </c>
      <c r="I21" s="5" t="s">
        <v>128</v>
      </c>
      <c r="J21" s="11"/>
    </row>
    <row r="22" spans="1:10">
      <c r="B22" s="4" t="s">
        <v>34</v>
      </c>
      <c r="C22" s="2" t="s">
        <v>34</v>
      </c>
      <c r="D22" s="6" t="s">
        <v>35</v>
      </c>
      <c r="E22" s="10"/>
      <c r="H22" s="1" t="s">
        <v>129</v>
      </c>
      <c r="I22" s="5"/>
      <c r="J22" s="11"/>
    </row>
    <row r="23" spans="1:10">
      <c r="B23" s="3"/>
      <c r="C23" s="1" t="s">
        <v>36</v>
      </c>
      <c r="D23" s="5" t="s">
        <v>37</v>
      </c>
      <c r="E23" s="10"/>
    </row>
    <row r="24" spans="1:10">
      <c r="B24" s="4" t="s">
        <v>0</v>
      </c>
      <c r="C24" s="2" t="s">
        <v>38</v>
      </c>
      <c r="D24" s="6" t="s">
        <v>39</v>
      </c>
      <c r="E24" s="10">
        <v>178000</v>
      </c>
    </row>
    <row r="25" spans="1:10">
      <c r="B25" s="3"/>
      <c r="C25" s="1" t="s">
        <v>40</v>
      </c>
      <c r="D25" s="5" t="s">
        <v>41</v>
      </c>
      <c r="E25" s="10"/>
    </row>
    <row r="26" spans="1:10">
      <c r="B26" s="3"/>
      <c r="C26" s="1" t="s">
        <v>42</v>
      </c>
      <c r="D26" s="5"/>
      <c r="E26" s="10"/>
    </row>
    <row r="27" spans="1:10">
      <c r="A27">
        <v>1.52</v>
      </c>
      <c r="B27" s="4" t="s">
        <v>43</v>
      </c>
      <c r="C27" s="2" t="s">
        <v>43</v>
      </c>
      <c r="D27" s="6" t="s">
        <v>43</v>
      </c>
      <c r="E27" s="10">
        <v>2600000</v>
      </c>
    </row>
    <row r="28" spans="1:10">
      <c r="B28" s="4" t="s">
        <v>44</v>
      </c>
      <c r="C28" s="2" t="s">
        <v>44</v>
      </c>
      <c r="D28" s="6" t="s">
        <v>101</v>
      </c>
      <c r="E28" s="10"/>
    </row>
    <row r="29" spans="1:10">
      <c r="B29" s="3"/>
      <c r="C29" s="1" t="s">
        <v>46</v>
      </c>
      <c r="D29" s="5" t="s">
        <v>45</v>
      </c>
      <c r="E29" s="10"/>
    </row>
    <row r="30" spans="1:10">
      <c r="B30" s="4" t="s">
        <v>47</v>
      </c>
      <c r="C30" s="2" t="s">
        <v>2</v>
      </c>
      <c r="D30" s="6" t="s">
        <v>2</v>
      </c>
      <c r="E30" s="10">
        <v>140000</v>
      </c>
    </row>
    <row r="31" spans="1:10">
      <c r="B31" s="3"/>
      <c r="C31" s="1" t="s">
        <v>48</v>
      </c>
      <c r="D31" s="5" t="s">
        <v>48</v>
      </c>
      <c r="E31" s="10"/>
    </row>
    <row r="32" spans="1:10">
      <c r="B32" s="3"/>
      <c r="C32" s="1" t="s">
        <v>49</v>
      </c>
      <c r="D32" s="5" t="s">
        <v>49</v>
      </c>
      <c r="E32" s="10"/>
    </row>
    <row r="33" spans="1:5">
      <c r="A33">
        <v>8.9600000000000009</v>
      </c>
      <c r="B33" s="4" t="s">
        <v>50</v>
      </c>
      <c r="C33" s="2" t="s">
        <v>51</v>
      </c>
      <c r="D33" s="6" t="s">
        <v>52</v>
      </c>
      <c r="E33" s="10">
        <v>320000</v>
      </c>
    </row>
    <row r="34" spans="1:5">
      <c r="B34" s="3"/>
      <c r="C34" s="1" t="s">
        <v>53</v>
      </c>
      <c r="D34" s="5" t="s">
        <v>54</v>
      </c>
      <c r="E34" s="10"/>
    </row>
    <row r="35" spans="1:5">
      <c r="B35" s="3"/>
      <c r="C35" s="1" t="s">
        <v>55</v>
      </c>
      <c r="D35" s="5" t="s">
        <v>56</v>
      </c>
      <c r="E35" s="10"/>
    </row>
    <row r="36" spans="1:5">
      <c r="B36" s="4" t="s">
        <v>57</v>
      </c>
      <c r="C36" s="2" t="s">
        <v>58</v>
      </c>
      <c r="D36" s="6" t="s">
        <v>59</v>
      </c>
      <c r="E36" s="10">
        <v>60000</v>
      </c>
    </row>
    <row r="37" spans="1:5">
      <c r="B37" s="3"/>
      <c r="C37" s="1" t="s">
        <v>60</v>
      </c>
      <c r="D37" s="5" t="s">
        <v>60</v>
      </c>
      <c r="E37" s="10"/>
    </row>
    <row r="38" spans="1:5">
      <c r="B38" s="3"/>
      <c r="C38" s="1" t="s">
        <v>61</v>
      </c>
      <c r="D38" s="5" t="s">
        <v>61</v>
      </c>
      <c r="E38" s="10">
        <v>225000</v>
      </c>
    </row>
    <row r="39" spans="1:5">
      <c r="B39" s="3"/>
      <c r="C39" s="1" t="s">
        <v>62</v>
      </c>
      <c r="D39" s="5" t="s">
        <v>62</v>
      </c>
      <c r="E39" s="10"/>
    </row>
    <row r="40" spans="1:5">
      <c r="B40" s="3"/>
      <c r="C40" s="1" t="s">
        <v>63</v>
      </c>
      <c r="D40" s="5" t="s">
        <v>63</v>
      </c>
      <c r="E40" s="10"/>
    </row>
    <row r="41" spans="1:5">
      <c r="B41" s="3"/>
      <c r="C41" s="1" t="s">
        <v>64</v>
      </c>
      <c r="D41" s="5" t="s">
        <v>64</v>
      </c>
      <c r="E41" s="10"/>
    </row>
    <row r="42" spans="1:5">
      <c r="B42" s="3"/>
      <c r="C42" s="1" t="s">
        <v>65</v>
      </c>
      <c r="D42" s="5" t="s">
        <v>65</v>
      </c>
      <c r="E42" s="10"/>
    </row>
    <row r="43" spans="1:5">
      <c r="B43" s="3"/>
      <c r="C43" s="1" t="s">
        <v>66</v>
      </c>
      <c r="D43" s="5" t="s">
        <v>66</v>
      </c>
      <c r="E43" s="10"/>
    </row>
    <row r="44" spans="1:5">
      <c r="B44" s="3"/>
      <c r="C44" s="1" t="s">
        <v>67</v>
      </c>
      <c r="D44" s="5" t="s">
        <v>67</v>
      </c>
      <c r="E44" s="10"/>
    </row>
    <row r="45" spans="1:5">
      <c r="B45" s="3"/>
      <c r="C45" s="1" t="s">
        <v>68</v>
      </c>
      <c r="D45" s="5" t="s">
        <v>68</v>
      </c>
      <c r="E45" s="10"/>
    </row>
    <row r="46" spans="1:5">
      <c r="B46" s="3"/>
      <c r="C46" s="1" t="s">
        <v>69</v>
      </c>
      <c r="D46" s="5" t="s">
        <v>69</v>
      </c>
      <c r="E46" s="10"/>
    </row>
    <row r="47" spans="1:5">
      <c r="B47" s="3"/>
      <c r="C47" s="1" t="s">
        <v>70</v>
      </c>
      <c r="D47" s="5" t="s">
        <v>70</v>
      </c>
      <c r="E47" s="10"/>
    </row>
    <row r="48" spans="1:5">
      <c r="B48" s="3"/>
      <c r="C48" s="1" t="s">
        <v>71</v>
      </c>
      <c r="D48" s="5" t="s">
        <v>71</v>
      </c>
      <c r="E48" s="10"/>
    </row>
    <row r="49" spans="2:5">
      <c r="B49" s="3"/>
      <c r="C49" s="1" t="s">
        <v>62</v>
      </c>
      <c r="D49" s="5" t="s">
        <v>62</v>
      </c>
      <c r="E49" s="10"/>
    </row>
    <row r="50" spans="2:5">
      <c r="B50" s="3"/>
      <c r="C50" s="1" t="s">
        <v>63</v>
      </c>
      <c r="D50" s="5" t="s">
        <v>63</v>
      </c>
      <c r="E50" s="10"/>
    </row>
    <row r="51" spans="2:5">
      <c r="B51" s="3"/>
      <c r="C51" s="1" t="s">
        <v>64</v>
      </c>
      <c r="D51" s="5" t="s">
        <v>64</v>
      </c>
      <c r="E51" s="10"/>
    </row>
    <row r="52" spans="2:5">
      <c r="B52" s="3"/>
      <c r="C52" s="1" t="s">
        <v>65</v>
      </c>
      <c r="D52" s="5" t="s">
        <v>65</v>
      </c>
      <c r="E52" s="10"/>
    </row>
    <row r="53" spans="2:5">
      <c r="B53" s="3"/>
      <c r="C53" s="1" t="s">
        <v>72</v>
      </c>
      <c r="D53" s="5" t="s">
        <v>72</v>
      </c>
      <c r="E53" s="10"/>
    </row>
    <row r="54" spans="2:5">
      <c r="B54" s="3"/>
      <c r="C54" s="1" t="s">
        <v>73</v>
      </c>
      <c r="D54" s="5" t="s">
        <v>73</v>
      </c>
      <c r="E54" s="10"/>
    </row>
    <row r="55" spans="2:5">
      <c r="B55" s="3"/>
      <c r="C55" s="1" t="s">
        <v>74</v>
      </c>
      <c r="D55" s="5" t="s">
        <v>74</v>
      </c>
      <c r="E55" s="10"/>
    </row>
    <row r="56" spans="2:5">
      <c r="B56" s="3"/>
      <c r="C56" s="1" t="s">
        <v>75</v>
      </c>
      <c r="D56" s="5" t="s">
        <v>76</v>
      </c>
      <c r="E56" s="10"/>
    </row>
    <row r="57" spans="2:5">
      <c r="B57" s="3"/>
      <c r="C57" s="1" t="s">
        <v>77</v>
      </c>
      <c r="D57" s="5" t="s">
        <v>135</v>
      </c>
      <c r="E57" s="10"/>
    </row>
    <row r="58" spans="2:5">
      <c r="B58" s="4" t="s">
        <v>78</v>
      </c>
      <c r="C58" s="2" t="s">
        <v>79</v>
      </c>
      <c r="D58" s="6" t="s">
        <v>79</v>
      </c>
      <c r="E58" s="10">
        <v>60000</v>
      </c>
    </row>
    <row r="59" spans="2:5">
      <c r="B59" s="3"/>
      <c r="C59" s="1" t="s">
        <v>80</v>
      </c>
      <c r="D59" s="5" t="s">
        <v>80</v>
      </c>
      <c r="E59" s="10">
        <v>70000</v>
      </c>
    </row>
    <row r="60" spans="2:5">
      <c r="B60" s="3"/>
      <c r="C60" s="1" t="s">
        <v>81</v>
      </c>
      <c r="D60" s="5" t="s">
        <v>141</v>
      </c>
      <c r="E60" s="10">
        <v>108000</v>
      </c>
    </row>
    <row r="61" spans="2:5">
      <c r="B61" s="16"/>
      <c r="C61" s="1" t="s">
        <v>81</v>
      </c>
      <c r="D61" s="5" t="s">
        <v>142</v>
      </c>
      <c r="E61" s="10">
        <v>98000</v>
      </c>
    </row>
    <row r="62" spans="2:5">
      <c r="B62" s="16"/>
      <c r="C62" s="1" t="s">
        <v>81</v>
      </c>
      <c r="D62" s="5" t="s">
        <v>143</v>
      </c>
      <c r="E62" s="10">
        <v>85000</v>
      </c>
    </row>
    <row r="63" spans="2:5">
      <c r="B63" s="3"/>
      <c r="C63" s="1" t="s">
        <v>82</v>
      </c>
      <c r="D63" s="5" t="s">
        <v>82</v>
      </c>
      <c r="E63" s="10"/>
    </row>
    <row r="64" spans="2:5">
      <c r="B64" s="4" t="s">
        <v>83</v>
      </c>
      <c r="C64" s="2" t="s">
        <v>84</v>
      </c>
      <c r="D64" s="6" t="s">
        <v>85</v>
      </c>
      <c r="E64" s="10"/>
    </row>
    <row r="65" spans="2:5">
      <c r="B65" s="4" t="s">
        <v>86</v>
      </c>
      <c r="C65" s="2" t="s">
        <v>86</v>
      </c>
      <c r="D65" s="6" t="s">
        <v>87</v>
      </c>
      <c r="E65" s="10"/>
    </row>
    <row r="66" spans="2:5">
      <c r="B66" s="4" t="s">
        <v>88</v>
      </c>
      <c r="C66" s="2" t="s">
        <v>89</v>
      </c>
      <c r="D66" s="6"/>
      <c r="E66" s="10"/>
    </row>
    <row r="67" spans="2:5">
      <c r="B67" s="4" t="s">
        <v>90</v>
      </c>
      <c r="C67" s="2" t="s">
        <v>91</v>
      </c>
      <c r="D67" s="6" t="s">
        <v>92</v>
      </c>
      <c r="E67" s="10"/>
    </row>
    <row r="68" spans="2:5">
      <c r="B68" s="3"/>
      <c r="C68" s="1" t="s">
        <v>93</v>
      </c>
      <c r="D68" s="5" t="s">
        <v>137</v>
      </c>
      <c r="E68" s="10"/>
    </row>
    <row r="69" spans="2:5">
      <c r="B69" s="3"/>
      <c r="C69" s="1" t="s">
        <v>94</v>
      </c>
      <c r="D69" s="5" t="s">
        <v>136</v>
      </c>
      <c r="E69" s="10"/>
    </row>
    <row r="70" spans="2:5">
      <c r="B70" s="4" t="s">
        <v>95</v>
      </c>
      <c r="C70" s="2" t="s">
        <v>96</v>
      </c>
      <c r="D70" s="6" t="s">
        <v>96</v>
      </c>
      <c r="E70" s="10"/>
    </row>
    <row r="71" spans="2:5">
      <c r="B71" s="4"/>
      <c r="C71" s="2"/>
      <c r="D71" s="6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F375C-DB19-4E35-B01A-F151977ED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Z0000002-502653 BOM triển khai</vt:lpstr>
      <vt:lpstr>Z0000002-502654 BOM triển kh ai</vt:lpstr>
      <vt:lpstr>Material&amp;Process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kinhdoanh1</dc:creator>
  <cp:lastModifiedBy>GTAM JSC</cp:lastModifiedBy>
  <cp:lastPrinted>2025-10-23T07:37:49Z</cp:lastPrinted>
  <dcterms:created xsi:type="dcterms:W3CDTF">2015-06-05T18:17:20Z</dcterms:created>
  <dcterms:modified xsi:type="dcterms:W3CDTF">2026-04-25T13:22:27Z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2024-10-29T07:41:24Z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80b979e5-6eed-4129-b0f5-c57262ff068d</vt:lpwstr>
  </property>
  <property fmtid="{D5CDD505-2E9C-101B-9397-08002B2CF9AE}" pid="7" name="MSIP_Label_defa4170-0d19-0005-0004-bc88714345d2_ActionId">
    <vt:lpwstr>0c8cfac9-127a-4d30-820b-6c37971fe8f9</vt:lpwstr>
  </property>
  <property fmtid="{D5CDD505-2E9C-101B-9397-08002B2CF9AE}" pid="8" name="MSIP_Label_defa4170-0d19-0005-0004-bc88714345d2_ContentBits">
    <vt:lpwstr>0</vt:lpwstr>
  </property>
</Properties>
</file>