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namedSheetViews/namedSheetView2.xml" ContentType="application/vnd.ms-excel.namedsheetviews+xml"/>
  <Override PartName="/xl/drawings/drawing3.xml" ContentType="application/vnd.openxmlformats-officedocument.drawing+xml"/>
  <Override PartName="/xl/namedSheetViews/namedSheetView3.xml" ContentType="application/vnd.ms-excel.namedsheetviews+xml"/>
  <Override PartName="/xl/drawings/drawing4.xml" ContentType="application/vnd.openxmlformats-officedocument.drawing+xml"/>
  <Override PartName="/xl/namedSheetViews/namedSheetView4.xml" ContentType="application/vnd.ms-excel.namedsheetviews+xml"/>
  <Override PartName="/xl/drawings/drawing5.xml" ContentType="application/vnd.openxmlformats-officedocument.drawing+xml"/>
  <Override PartName="/xl/namedSheetViews/namedSheetView5.xml" ContentType="application/vnd.ms-excel.namedsheetview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tamtech-my.sharepoint.com/personal/int_gtam_vn/Documents/Gia cong/2026/THANG 3/20.03/"/>
    </mc:Choice>
  </mc:AlternateContent>
  <xr:revisionPtr revIDLastSave="1432" documentId="11_F25DC773A252ABDACC10483B5918531C5BDE58E1" xr6:coauthVersionLast="47" xr6:coauthVersionMax="47" xr10:uidLastSave="{B95834BC-FF2B-4BEC-9E2E-D3C170DC1A00}"/>
  <bookViews>
    <workbookView xWindow="-120" yWindow="-120" windowWidth="29040" windowHeight="15720" firstSheet="1" activeTab="3" xr2:uid="{00000000-000D-0000-FFFF-FFFF00000000}"/>
  </bookViews>
  <sheets>
    <sheet name="Z0000002-508684 BOM triển k hai" sheetId="1" r:id="rId1"/>
    <sheet name="Z0000002-508700 BOM triển k hai" sheetId="2" r:id="rId2"/>
    <sheet name="Z0000002-508701 BOM triển k hai" sheetId="3" r:id="rId3"/>
    <sheet name="Z0000002-508703 BOM triển khai" sheetId="4" r:id="rId4"/>
    <sheet name="Z0000002-508704 BOM triển khai" sheetId="5" r:id="rId5"/>
    <sheet name="Z0000002-508707 BOM triển khai" sheetId="6" r:id="rId6"/>
    <sheet name="Z0000002-508708 BOM triển kh ai" sheetId="7" r:id="rId7"/>
  </sheets>
  <externalReferences>
    <externalReference r:id="rId8"/>
  </externalReferences>
  <definedNames>
    <definedName name="_xlnm._FilterDatabase" localSheetId="0" hidden="1">'Z0000002-508684 BOM triển k hai'!$A$2:$I$42</definedName>
    <definedName name="_xlnm._FilterDatabase" localSheetId="1" hidden="1">'Z0000002-508700 BOM triển k hai'!$A$2:$I$38</definedName>
    <definedName name="_xlnm._FilterDatabase" localSheetId="2" hidden="1">'Z0000002-508701 BOM triển k hai'!$A$2:$I$38</definedName>
    <definedName name="_xlnm._FilterDatabase" localSheetId="3" hidden="1">'Z0000002-508703 BOM triển khai'!$A$2:$I$41</definedName>
    <definedName name="_xlnm._FilterDatabase" localSheetId="4" hidden="1">'Z0000002-508704 BOM triển khai'!$A$2:$I$32</definedName>
    <definedName name="_xlnm._FilterDatabase" localSheetId="5" hidden="1">'Z0000002-508707 BOM triển khai'!$A$2:$I$37</definedName>
    <definedName name="_xlnm._FilterDatabase" localSheetId="6" hidden="1">'Z0000002-508708 BOM triển kh ai'!$A$2:$I$34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1" l="1"/>
  <c r="E100" i="1" l="1"/>
  <c r="E99" i="1"/>
  <c r="I105" i="1"/>
  <c r="I104" i="1"/>
  <c r="I102" i="1"/>
  <c r="I101" i="1"/>
  <c r="J38" i="7"/>
  <c r="J40" i="7"/>
  <c r="J44" i="7"/>
  <c r="J45" i="7"/>
  <c r="J48" i="7"/>
  <c r="J49" i="7"/>
  <c r="J41" i="6"/>
  <c r="J43" i="6"/>
  <c r="J47" i="6"/>
  <c r="J48" i="6"/>
  <c r="J51" i="6"/>
  <c r="J52" i="6"/>
  <c r="J35" i="5"/>
  <c r="J37" i="5"/>
  <c r="J41" i="5"/>
  <c r="J42" i="5"/>
  <c r="J45" i="5"/>
  <c r="J44" i="4"/>
  <c r="J46" i="4"/>
  <c r="J50" i="4"/>
  <c r="J51" i="4"/>
  <c r="J54" i="4"/>
  <c r="J41" i="3"/>
  <c r="J43" i="3"/>
  <c r="J44" i="3"/>
  <c r="J47" i="4" s="1"/>
  <c r="J38" i="5" s="1"/>
  <c r="J44" i="6" s="1"/>
  <c r="J41" i="7" s="1"/>
  <c r="J47" i="3"/>
  <c r="J48" i="3"/>
  <c r="J41" i="2"/>
  <c r="J43" i="2"/>
  <c r="J44" i="2"/>
  <c r="J47" i="2"/>
  <c r="J48" i="2"/>
  <c r="J51" i="2"/>
  <c r="J45" i="1"/>
  <c r="J40" i="3" s="1"/>
  <c r="J43" i="4" s="1"/>
  <c r="J34" i="5" s="1"/>
  <c r="J40" i="6" s="1"/>
  <c r="J37" i="7" s="1"/>
  <c r="K8" i="1"/>
  <c r="J40" i="2" l="1"/>
  <c r="L26" i="1" l="1"/>
  <c r="L28" i="1" s="1"/>
  <c r="L29" i="1" s="1"/>
  <c r="L30" i="1" s="1"/>
  <c r="L31" i="1" s="1"/>
  <c r="L36" i="1" s="1"/>
  <c r="J50" i="1" s="1"/>
  <c r="K26" i="1"/>
  <c r="H26" i="1"/>
  <c r="E17" i="4"/>
  <c r="E16" i="2"/>
  <c r="G93" i="1"/>
  <c r="H50" i="1"/>
  <c r="H28" i="1"/>
  <c r="H30" i="1" s="1"/>
  <c r="I95" i="1"/>
  <c r="G69" i="1"/>
  <c r="I94" i="1"/>
  <c r="I92" i="1"/>
  <c r="I91" i="1"/>
  <c r="J54" i="1"/>
  <c r="J55" i="1"/>
  <c r="I66" i="1"/>
  <c r="I65" i="1"/>
  <c r="I64" i="1"/>
  <c r="I63" i="1"/>
  <c r="I62" i="1"/>
  <c r="I61" i="1"/>
  <c r="I60" i="1"/>
  <c r="I59" i="1"/>
  <c r="M66" i="1"/>
  <c r="M65" i="1"/>
  <c r="M64" i="1"/>
  <c r="M63" i="1"/>
  <c r="M62" i="1"/>
  <c r="M61" i="1"/>
  <c r="M60" i="1"/>
  <c r="M59" i="1"/>
  <c r="J50" i="2" l="1"/>
  <c r="J50" i="3"/>
  <c r="J53" i="4" s="1"/>
  <c r="J44" i="5" s="1"/>
  <c r="J50" i="6" s="1"/>
  <c r="J47" i="7" s="1"/>
  <c r="J49" i="3"/>
  <c r="J52" i="4" s="1"/>
  <c r="J43" i="5" s="1"/>
  <c r="J49" i="6" s="1"/>
  <c r="J46" i="7" s="1"/>
  <c r="J49" i="2"/>
  <c r="J45" i="2"/>
  <c r="J45" i="3"/>
  <c r="J48" i="4" s="1"/>
  <c r="J39" i="5" s="1"/>
  <c r="J45" i="6" s="1"/>
  <c r="J42" i="7" s="1"/>
  <c r="I46" i="1"/>
  <c r="I49" i="1"/>
  <c r="I51" i="1"/>
  <c r="J51" i="1" s="1"/>
  <c r="I52" i="1"/>
  <c r="I53" i="1"/>
  <c r="I54" i="1"/>
  <c r="I55" i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J1" i="7"/>
  <c r="J1" i="6"/>
  <c r="J6" i="6" s="1"/>
  <c r="J1" i="5"/>
  <c r="J7" i="5" s="1"/>
  <c r="J1" i="4"/>
  <c r="J5" i="4" s="1"/>
  <c r="J1" i="3"/>
  <c r="J6" i="3" s="1"/>
  <c r="J1" i="2"/>
  <c r="J6" i="2" s="1"/>
  <c r="J1" i="1"/>
  <c r="J6" i="1" s="1"/>
  <c r="J4" i="1" l="1"/>
  <c r="J39" i="4"/>
  <c r="J19" i="4"/>
  <c r="J15" i="4"/>
  <c r="J28" i="1"/>
  <c r="J24" i="1"/>
  <c r="J46" i="2"/>
  <c r="J46" i="3"/>
  <c r="J49" i="4" s="1"/>
  <c r="J40" i="5" s="1"/>
  <c r="J46" i="6" s="1"/>
  <c r="J43" i="7" s="1"/>
  <c r="J20" i="1"/>
  <c r="J35" i="4"/>
  <c r="J11" i="4"/>
  <c r="J17" i="5"/>
  <c r="J40" i="1"/>
  <c r="J16" i="1"/>
  <c r="J31" i="4"/>
  <c r="J7" i="4"/>
  <c r="J13" i="5"/>
  <c r="J36" i="1"/>
  <c r="J12" i="1"/>
  <c r="J27" i="4"/>
  <c r="J3" i="5"/>
  <c r="J9" i="5"/>
  <c r="J32" i="1"/>
  <c r="J8" i="1"/>
  <c r="I99" i="1" s="1"/>
  <c r="J23" i="4"/>
  <c r="J29" i="5"/>
  <c r="J5" i="5"/>
  <c r="J25" i="5"/>
  <c r="J21" i="5"/>
  <c r="J41" i="1"/>
  <c r="J37" i="1"/>
  <c r="J33" i="1"/>
  <c r="J29" i="1"/>
  <c r="J25" i="1"/>
  <c r="J21" i="1"/>
  <c r="J17" i="1"/>
  <c r="J13" i="1"/>
  <c r="J9" i="1"/>
  <c r="J5" i="1"/>
  <c r="J37" i="2"/>
  <c r="J33" i="2"/>
  <c r="J29" i="2"/>
  <c r="J25" i="2"/>
  <c r="J21" i="2"/>
  <c r="J17" i="2"/>
  <c r="J13" i="2"/>
  <c r="J9" i="2"/>
  <c r="J5" i="2"/>
  <c r="J37" i="3"/>
  <c r="J33" i="3"/>
  <c r="J29" i="3"/>
  <c r="J25" i="3"/>
  <c r="J21" i="3"/>
  <c r="J17" i="3"/>
  <c r="J13" i="3"/>
  <c r="J9" i="3"/>
  <c r="J5" i="3"/>
  <c r="J40" i="4"/>
  <c r="J36" i="4"/>
  <c r="J32" i="4"/>
  <c r="J28" i="4"/>
  <c r="J24" i="4"/>
  <c r="J20" i="4"/>
  <c r="J16" i="4"/>
  <c r="J12" i="4"/>
  <c r="J8" i="4"/>
  <c r="J4" i="4"/>
  <c r="J30" i="5"/>
  <c r="J26" i="5"/>
  <c r="J22" i="5"/>
  <c r="J18" i="5"/>
  <c r="J14" i="5"/>
  <c r="J10" i="5"/>
  <c r="J6" i="5"/>
  <c r="J37" i="6"/>
  <c r="J33" i="6"/>
  <c r="J29" i="6"/>
  <c r="J25" i="6"/>
  <c r="J21" i="6"/>
  <c r="J17" i="6"/>
  <c r="J13" i="6"/>
  <c r="J9" i="6"/>
  <c r="J5" i="6"/>
  <c r="J24" i="2"/>
  <c r="J8" i="2"/>
  <c r="J12" i="3"/>
  <c r="J36" i="6"/>
  <c r="J32" i="6"/>
  <c r="J28" i="6"/>
  <c r="J24" i="6"/>
  <c r="J20" i="6"/>
  <c r="J16" i="6"/>
  <c r="J12" i="6"/>
  <c r="J8" i="6"/>
  <c r="J4" i="6"/>
  <c r="J36" i="2"/>
  <c r="J4" i="2"/>
  <c r="J36" i="3"/>
  <c r="J32" i="3"/>
  <c r="J28" i="3"/>
  <c r="J24" i="3"/>
  <c r="J20" i="3"/>
  <c r="J16" i="3"/>
  <c r="J4" i="3"/>
  <c r="J3" i="1"/>
  <c r="J39" i="1"/>
  <c r="J35" i="1"/>
  <c r="J31" i="1"/>
  <c r="J27" i="1"/>
  <c r="J23" i="1"/>
  <c r="J19" i="1"/>
  <c r="J15" i="1"/>
  <c r="J11" i="1"/>
  <c r="J7" i="1"/>
  <c r="J3" i="2"/>
  <c r="J35" i="2"/>
  <c r="J31" i="2"/>
  <c r="J27" i="2"/>
  <c r="J23" i="2"/>
  <c r="J19" i="2"/>
  <c r="J15" i="2"/>
  <c r="J11" i="2"/>
  <c r="J7" i="2"/>
  <c r="J3" i="3"/>
  <c r="J35" i="3"/>
  <c r="J31" i="3"/>
  <c r="J27" i="3"/>
  <c r="J23" i="3"/>
  <c r="J19" i="3"/>
  <c r="J15" i="3"/>
  <c r="J11" i="3"/>
  <c r="J7" i="3"/>
  <c r="J3" i="4"/>
  <c r="J38" i="4"/>
  <c r="J34" i="4"/>
  <c r="J30" i="4"/>
  <c r="J26" i="4"/>
  <c r="J22" i="4"/>
  <c r="J18" i="4"/>
  <c r="J14" i="4"/>
  <c r="J10" i="4"/>
  <c r="J6" i="4"/>
  <c r="J32" i="5"/>
  <c r="J28" i="5"/>
  <c r="J24" i="5"/>
  <c r="J20" i="5"/>
  <c r="J16" i="5"/>
  <c r="J12" i="5"/>
  <c r="J8" i="5"/>
  <c r="J4" i="5"/>
  <c r="J35" i="6"/>
  <c r="J31" i="6"/>
  <c r="J27" i="6"/>
  <c r="J23" i="6"/>
  <c r="J19" i="6"/>
  <c r="J15" i="6"/>
  <c r="J11" i="6"/>
  <c r="J7" i="6"/>
  <c r="J32" i="2"/>
  <c r="J28" i="2"/>
  <c r="J20" i="2"/>
  <c r="J16" i="2"/>
  <c r="J12" i="2"/>
  <c r="J8" i="3"/>
  <c r="J42" i="1"/>
  <c r="J38" i="1"/>
  <c r="J34" i="1"/>
  <c r="J30" i="1"/>
  <c r="J26" i="1"/>
  <c r="J22" i="1"/>
  <c r="J18" i="1"/>
  <c r="J14" i="1"/>
  <c r="J10" i="1"/>
  <c r="J38" i="2"/>
  <c r="J34" i="2"/>
  <c r="J30" i="2"/>
  <c r="J26" i="2"/>
  <c r="J22" i="2"/>
  <c r="J18" i="2"/>
  <c r="J14" i="2"/>
  <c r="J10" i="2"/>
  <c r="J38" i="3"/>
  <c r="J34" i="3"/>
  <c r="J30" i="3"/>
  <c r="J26" i="3"/>
  <c r="J22" i="3"/>
  <c r="J18" i="3"/>
  <c r="J14" i="3"/>
  <c r="J10" i="3"/>
  <c r="J41" i="4"/>
  <c r="J37" i="4"/>
  <c r="J33" i="4"/>
  <c r="J29" i="4"/>
  <c r="J25" i="4"/>
  <c r="J21" i="4"/>
  <c r="J17" i="4"/>
  <c r="J13" i="4"/>
  <c r="J9" i="4"/>
  <c r="J31" i="5"/>
  <c r="J27" i="5"/>
  <c r="J23" i="5"/>
  <c r="J19" i="5"/>
  <c r="J15" i="5"/>
  <c r="J11" i="5"/>
  <c r="J3" i="6"/>
  <c r="J34" i="6"/>
  <c r="J30" i="6"/>
  <c r="J26" i="6"/>
  <c r="J22" i="6"/>
  <c r="J18" i="6"/>
  <c r="J14" i="6"/>
  <c r="J10" i="6"/>
  <c r="H54" i="1"/>
  <c r="H36" i="1" l="1"/>
  <c r="H29" i="1"/>
  <c r="H51" i="2" s="1"/>
  <c r="K33" i="1" l="1"/>
  <c r="K28" i="1"/>
  <c r="K10" i="1"/>
  <c r="K11" i="1" s="1"/>
  <c r="K13" i="1" s="1"/>
  <c r="K14" i="1" s="1"/>
  <c r="K15" i="1" s="1"/>
  <c r="K16" i="1" s="1"/>
  <c r="K17" i="1" s="1"/>
  <c r="K21" i="1" s="1"/>
  <c r="K22" i="1" s="1"/>
  <c r="K23" i="1" s="1"/>
  <c r="K37" i="1" s="1"/>
  <c r="K38" i="1" s="1"/>
  <c r="K39" i="1" s="1"/>
  <c r="K40" i="1" s="1"/>
  <c r="K41" i="1" s="1"/>
  <c r="K42" i="1" s="1"/>
  <c r="I48" i="1" s="1"/>
  <c r="K35" i="1"/>
  <c r="I47" i="1" s="1"/>
  <c r="J47" i="1" s="1"/>
  <c r="K5" i="1"/>
  <c r="K6" i="1" s="1"/>
  <c r="K2" i="1"/>
  <c r="I50" i="2"/>
  <c r="I50" i="3" s="1"/>
  <c r="I53" i="4" s="1"/>
  <c r="I44" i="5" s="1"/>
  <c r="I50" i="6" s="1"/>
  <c r="I47" i="7" s="1"/>
  <c r="H55" i="1"/>
  <c r="H50" i="2" s="1"/>
  <c r="H50" i="3" s="1"/>
  <c r="H53" i="4" s="1"/>
  <c r="H44" i="5" s="1"/>
  <c r="H50" i="6" s="1"/>
  <c r="H47" i="7" s="1"/>
  <c r="J42" i="3" l="1"/>
  <c r="J45" i="4" s="1"/>
  <c r="J36" i="5" s="1"/>
  <c r="J42" i="6" s="1"/>
  <c r="J39" i="7" s="1"/>
  <c r="J42" i="2"/>
  <c r="K30" i="1"/>
  <c r="K31" i="1" s="1"/>
  <c r="I50" i="1" s="1"/>
  <c r="K29" i="1"/>
  <c r="K36" i="1" s="1"/>
  <c r="K34" i="1"/>
  <c r="I45" i="1" l="1"/>
  <c r="G84" i="1"/>
  <c r="G83" i="1"/>
  <c r="G79" i="1"/>
  <c r="K21" i="3" l="1"/>
  <c r="K22" i="3" s="1"/>
  <c r="K19" i="1"/>
  <c r="K24" i="4" l="1"/>
  <c r="K31" i="5" s="1"/>
  <c r="K32" i="5" s="1"/>
  <c r="K36" i="6" l="1"/>
  <c r="K37" i="6" s="1"/>
  <c r="K25" i="4"/>
  <c r="K33" i="7" l="1"/>
  <c r="K34" i="7" s="1"/>
  <c r="L66" i="1" l="1"/>
  <c r="H66" i="1"/>
  <c r="J65" i="1"/>
  <c r="J64" i="1"/>
  <c r="J63" i="1"/>
  <c r="J62" i="1"/>
  <c r="J61" i="1"/>
  <c r="J60" i="1"/>
  <c r="J59" i="1"/>
  <c r="I49" i="7" l="1"/>
  <c r="K49" i="7"/>
  <c r="I50" i="7"/>
  <c r="K50" i="7"/>
  <c r="H49" i="7"/>
  <c r="H50" i="7"/>
  <c r="K51" i="3"/>
  <c r="K54" i="4" s="1"/>
  <c r="K45" i="5" s="1"/>
  <c r="K51" i="6" s="1"/>
  <c r="K48" i="7" s="1"/>
  <c r="I51" i="3"/>
  <c r="I54" i="4" s="1"/>
  <c r="I45" i="5" s="1"/>
  <c r="I51" i="6" s="1"/>
  <c r="I48" i="7" s="1"/>
  <c r="H51" i="3"/>
  <c r="H54" i="4" s="1"/>
  <c r="H45" i="5" s="1"/>
  <c r="H51" i="6" s="1"/>
  <c r="H48" i="7" s="1"/>
  <c r="K49" i="3"/>
  <c r="K52" i="4" s="1"/>
  <c r="K43" i="5" s="1"/>
  <c r="K49" i="6" s="1"/>
  <c r="K46" i="7" s="1"/>
  <c r="I49" i="3"/>
  <c r="I52" i="4" s="1"/>
  <c r="I43" i="5" s="1"/>
  <c r="I49" i="6" s="1"/>
  <c r="I46" i="7" s="1"/>
  <c r="H49" i="3"/>
  <c r="H52" i="4" s="1"/>
  <c r="H43" i="5" s="1"/>
  <c r="H49" i="6" s="1"/>
  <c r="H46" i="7" s="1"/>
  <c r="K48" i="3"/>
  <c r="K51" i="4" s="1"/>
  <c r="K42" i="5" s="1"/>
  <c r="K48" i="6" s="1"/>
  <c r="K45" i="7" s="1"/>
  <c r="I48" i="3"/>
  <c r="I51" i="4" s="1"/>
  <c r="I42" i="5" s="1"/>
  <c r="I48" i="6" s="1"/>
  <c r="I45" i="7" s="1"/>
  <c r="H48" i="3"/>
  <c r="H51" i="4" s="1"/>
  <c r="H42" i="5" s="1"/>
  <c r="H48" i="6" s="1"/>
  <c r="H45" i="7" s="1"/>
  <c r="K47" i="3"/>
  <c r="K50" i="4" s="1"/>
  <c r="K41" i="5" s="1"/>
  <c r="K47" i="6" s="1"/>
  <c r="K44" i="7" s="1"/>
  <c r="I47" i="3"/>
  <c r="I50" i="4" s="1"/>
  <c r="I41" i="5" s="1"/>
  <c r="I47" i="6" s="1"/>
  <c r="I44" i="7" s="1"/>
  <c r="H47" i="3"/>
  <c r="H50" i="4" s="1"/>
  <c r="H41" i="5" s="1"/>
  <c r="H47" i="6" s="1"/>
  <c r="H44" i="7" s="1"/>
  <c r="K46" i="3"/>
  <c r="K49" i="4" s="1"/>
  <c r="K40" i="5" s="1"/>
  <c r="K46" i="6" s="1"/>
  <c r="K43" i="7" s="1"/>
  <c r="I46" i="3"/>
  <c r="I49" i="4" s="1"/>
  <c r="I40" i="5" s="1"/>
  <c r="I46" i="6" s="1"/>
  <c r="I43" i="7" s="1"/>
  <c r="H46" i="3"/>
  <c r="H49" i="4" s="1"/>
  <c r="H40" i="5" s="1"/>
  <c r="H46" i="6" s="1"/>
  <c r="H43" i="7" s="1"/>
  <c r="K45" i="3"/>
  <c r="K48" i="4" s="1"/>
  <c r="K39" i="5" s="1"/>
  <c r="K45" i="6" s="1"/>
  <c r="K42" i="7" s="1"/>
  <c r="I45" i="3"/>
  <c r="I48" i="4" s="1"/>
  <c r="I39" i="5" s="1"/>
  <c r="I45" i="6" s="1"/>
  <c r="I42" i="7" s="1"/>
  <c r="H45" i="3"/>
  <c r="H48" i="4" s="1"/>
  <c r="H39" i="5" s="1"/>
  <c r="H45" i="6" s="1"/>
  <c r="H42" i="7" s="1"/>
  <c r="K44" i="3"/>
  <c r="K47" i="4" s="1"/>
  <c r="K38" i="5" s="1"/>
  <c r="K44" i="6" s="1"/>
  <c r="K41" i="7" s="1"/>
  <c r="I44" i="3"/>
  <c r="I47" i="4" s="1"/>
  <c r="I38" i="5" s="1"/>
  <c r="I44" i="6" s="1"/>
  <c r="I41" i="7" s="1"/>
  <c r="H44" i="3"/>
  <c r="H47" i="4" s="1"/>
  <c r="H38" i="5" s="1"/>
  <c r="H44" i="6" s="1"/>
  <c r="H41" i="7" s="1"/>
  <c r="K43" i="3"/>
  <c r="K46" i="4" s="1"/>
  <c r="K37" i="5" s="1"/>
  <c r="K43" i="6" s="1"/>
  <c r="K40" i="7" s="1"/>
  <c r="I43" i="3"/>
  <c r="I46" i="4" s="1"/>
  <c r="I37" i="5" s="1"/>
  <c r="I43" i="6" s="1"/>
  <c r="I40" i="7" s="1"/>
  <c r="H43" i="3"/>
  <c r="H46" i="4" s="1"/>
  <c r="H37" i="5" s="1"/>
  <c r="H43" i="6" s="1"/>
  <c r="H40" i="7" s="1"/>
  <c r="K42" i="3"/>
  <c r="K45" i="4" s="1"/>
  <c r="K36" i="5" s="1"/>
  <c r="K42" i="6" s="1"/>
  <c r="K39" i="7" s="1"/>
  <c r="I42" i="3"/>
  <c r="I45" i="4" s="1"/>
  <c r="I36" i="5" s="1"/>
  <c r="I42" i="6" s="1"/>
  <c r="I39" i="7" s="1"/>
  <c r="H42" i="3"/>
  <c r="H45" i="4" s="1"/>
  <c r="H36" i="5" s="1"/>
  <c r="H42" i="6" s="1"/>
  <c r="H39" i="7" s="1"/>
  <c r="K41" i="3"/>
  <c r="K44" i="4" s="1"/>
  <c r="K35" i="5" s="1"/>
  <c r="K41" i="6" s="1"/>
  <c r="K38" i="7" s="1"/>
  <c r="I41" i="3"/>
  <c r="I44" i="4" s="1"/>
  <c r="I35" i="5" s="1"/>
  <c r="I41" i="6" s="1"/>
  <c r="I38" i="7" s="1"/>
  <c r="H41" i="3"/>
  <c r="H44" i="4" s="1"/>
  <c r="H35" i="5" s="1"/>
  <c r="H41" i="6" s="1"/>
  <c r="H38" i="7" s="1"/>
  <c r="K40" i="3"/>
  <c r="K43" i="4" s="1"/>
  <c r="K34" i="5" s="1"/>
  <c r="K40" i="6" s="1"/>
  <c r="K37" i="7" s="1"/>
  <c r="I40" i="3"/>
  <c r="I43" i="4" s="1"/>
  <c r="I34" i="5" s="1"/>
  <c r="H40" i="3"/>
  <c r="H43" i="4" s="1"/>
  <c r="H34" i="5" s="1"/>
  <c r="H40" i="6" s="1"/>
  <c r="H37" i="7" s="1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I51" i="2"/>
  <c r="I40" i="2"/>
  <c r="H40" i="2"/>
  <c r="H31" i="6"/>
  <c r="E31" i="6"/>
  <c r="E24" i="6"/>
  <c r="E26" i="6" s="1"/>
  <c r="I40" i="6" l="1"/>
  <c r="I37" i="7" s="1"/>
  <c r="H25" i="7"/>
  <c r="R4" i="5"/>
  <c r="R6" i="5"/>
  <c r="R17" i="5"/>
  <c r="R23" i="5"/>
  <c r="R24" i="5"/>
  <c r="R3" i="5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" i="7"/>
  <c r="E25" i="5"/>
  <c r="R25" i="5" s="1"/>
  <c r="E17" i="7" s="1"/>
  <c r="H17" i="5"/>
  <c r="H13" i="5"/>
  <c r="E13" i="5"/>
  <c r="R13" i="5" s="1"/>
  <c r="H8" i="5"/>
  <c r="H8" i="6" s="1"/>
  <c r="H9" i="5"/>
  <c r="H6" i="6" s="1"/>
  <c r="H10" i="5"/>
  <c r="H15" i="6" s="1"/>
  <c r="H11" i="5"/>
  <c r="H4" i="6" s="1"/>
  <c r="H12" i="5"/>
  <c r="H17" i="6" s="1"/>
  <c r="H16" i="5"/>
  <c r="H16" i="6" s="1"/>
  <c r="H18" i="5"/>
  <c r="H12" i="6" s="1"/>
  <c r="H19" i="5"/>
  <c r="H13" i="6" s="1"/>
  <c r="H22" i="5"/>
  <c r="H7" i="6" s="1"/>
  <c r="H26" i="5"/>
  <c r="H9" i="6" s="1"/>
  <c r="H29" i="5"/>
  <c r="H19" i="6" s="1"/>
  <c r="H31" i="5"/>
  <c r="H36" i="6" s="1"/>
  <c r="H3" i="4"/>
  <c r="E25" i="7" l="1"/>
  <c r="G85" i="1" s="1"/>
  <c r="H16" i="7"/>
  <c r="H4" i="7"/>
  <c r="H21" i="7"/>
  <c r="H9" i="7"/>
  <c r="H33" i="7"/>
  <c r="H13" i="7"/>
  <c r="H8" i="7"/>
  <c r="H19" i="7"/>
  <c r="H12" i="7"/>
  <c r="H7" i="7"/>
  <c r="H18" i="7"/>
  <c r="H6" i="7"/>
  <c r="H7" i="4"/>
  <c r="H11" i="4"/>
  <c r="H12" i="4"/>
  <c r="H14" i="4"/>
  <c r="H19" i="4"/>
  <c r="H24" i="4"/>
  <c r="H26" i="4"/>
  <c r="H27" i="4"/>
  <c r="H28" i="4"/>
  <c r="H29" i="4"/>
  <c r="H30" i="4"/>
  <c r="H31" i="4"/>
  <c r="H32" i="4"/>
  <c r="H33" i="4"/>
  <c r="H35" i="4"/>
  <c r="H37" i="4"/>
  <c r="H38" i="4"/>
  <c r="H39" i="4"/>
  <c r="H4" i="3"/>
  <c r="H12" i="3"/>
  <c r="H14" i="3"/>
  <c r="H15" i="3"/>
  <c r="H21" i="3"/>
  <c r="H23" i="3"/>
  <c r="H24" i="3"/>
  <c r="H25" i="3"/>
  <c r="H26" i="3"/>
  <c r="H27" i="3"/>
  <c r="H28" i="3"/>
  <c r="H29" i="3"/>
  <c r="H30" i="3"/>
  <c r="H33" i="3"/>
  <c r="H35" i="3"/>
  <c r="H37" i="3"/>
  <c r="H38" i="3"/>
  <c r="H5" i="3"/>
  <c r="H7" i="3"/>
  <c r="H8" i="3" s="1"/>
  <c r="H16" i="2" l="1"/>
  <c r="H5" i="2"/>
  <c r="H6" i="2" s="1"/>
  <c r="E5" i="2"/>
  <c r="E6" i="2" s="1"/>
  <c r="R4" i="1"/>
  <c r="R7" i="1"/>
  <c r="R8" i="1"/>
  <c r="R9" i="1"/>
  <c r="R12" i="1"/>
  <c r="R18" i="1"/>
  <c r="R19" i="1"/>
  <c r="R20" i="1"/>
  <c r="R23" i="1"/>
  <c r="R24" i="1"/>
  <c r="R25" i="1"/>
  <c r="R26" i="1"/>
  <c r="R27" i="1"/>
  <c r="R28" i="1"/>
  <c r="R30" i="1"/>
  <c r="R31" i="1"/>
  <c r="R32" i="1"/>
  <c r="R33" i="1"/>
  <c r="R34" i="1"/>
  <c r="R35" i="1"/>
  <c r="R36" i="1"/>
  <c r="R3" i="1"/>
  <c r="H9" i="2"/>
  <c r="H11" i="2"/>
  <c r="H12" i="2"/>
  <c r="H18" i="2"/>
  <c r="H20" i="2"/>
  <c r="H21" i="2"/>
  <c r="H22" i="2"/>
  <c r="H23" i="2"/>
  <c r="H24" i="2"/>
  <c r="H25" i="2"/>
  <c r="H26" i="2"/>
  <c r="H27" i="2"/>
  <c r="H30" i="2"/>
  <c r="H32" i="2"/>
  <c r="H34" i="2"/>
  <c r="H35" i="2"/>
  <c r="H33" i="1"/>
  <c r="H33" i="2" s="1"/>
  <c r="H31" i="1"/>
  <c r="E29" i="1"/>
  <c r="R29" i="1" s="1"/>
  <c r="H19" i="1"/>
  <c r="E13" i="1"/>
  <c r="R13" i="1" s="1"/>
  <c r="H10" i="1"/>
  <c r="H11" i="1" s="1"/>
  <c r="E10" i="1"/>
  <c r="R10" i="1" s="1"/>
  <c r="E5" i="1"/>
  <c r="E6" i="1" s="1"/>
  <c r="R6" i="1" s="1"/>
  <c r="H5" i="1"/>
  <c r="H6" i="1" s="1"/>
  <c r="E16" i="4" l="1"/>
  <c r="E10" i="3"/>
  <c r="E7" i="2"/>
  <c r="E15" i="4"/>
  <c r="E14" i="2"/>
  <c r="E17" i="2" s="1"/>
  <c r="E17" i="3"/>
  <c r="E32" i="4"/>
  <c r="E29" i="3"/>
  <c r="E26" i="2"/>
  <c r="E18" i="5"/>
  <c r="R18" i="5" s="1"/>
  <c r="E30" i="3"/>
  <c r="E16" i="5"/>
  <c r="E27" i="2"/>
  <c r="E39" i="4"/>
  <c r="E22" i="5"/>
  <c r="R22" i="5" s="1"/>
  <c r="E35" i="3"/>
  <c r="E32" i="2"/>
  <c r="E35" i="4"/>
  <c r="E11" i="5"/>
  <c r="R11" i="5" s="1"/>
  <c r="E21" i="2"/>
  <c r="E24" i="3"/>
  <c r="E30" i="4"/>
  <c r="E15" i="3"/>
  <c r="G81" i="1" s="1"/>
  <c r="E12" i="2"/>
  <c r="G80" i="1" s="1"/>
  <c r="E14" i="4"/>
  <c r="G82" i="1" s="1"/>
  <c r="E3" i="4"/>
  <c r="E7" i="3"/>
  <c r="E8" i="3" s="1"/>
  <c r="E35" i="2"/>
  <c r="E38" i="3"/>
  <c r="E38" i="4"/>
  <c r="E34" i="3"/>
  <c r="E31" i="2"/>
  <c r="E27" i="5"/>
  <c r="R27" i="5" s="1"/>
  <c r="E34" i="4"/>
  <c r="E27" i="3"/>
  <c r="E10" i="5"/>
  <c r="R10" i="5" s="1"/>
  <c r="E29" i="4"/>
  <c r="E24" i="2"/>
  <c r="E20" i="2"/>
  <c r="E26" i="4"/>
  <c r="E23" i="3"/>
  <c r="E12" i="4"/>
  <c r="E11" i="4"/>
  <c r="E5" i="3"/>
  <c r="E4" i="3"/>
  <c r="E37" i="3"/>
  <c r="E8" i="5"/>
  <c r="R8" i="5" s="1"/>
  <c r="E37" i="4"/>
  <c r="E34" i="2"/>
  <c r="E30" i="2"/>
  <c r="E33" i="3"/>
  <c r="E29" i="5"/>
  <c r="R29" i="5" s="1"/>
  <c r="E33" i="4"/>
  <c r="E28" i="4"/>
  <c r="E23" i="2"/>
  <c r="E9" i="5"/>
  <c r="R9" i="5" s="1"/>
  <c r="E26" i="3"/>
  <c r="E25" i="4"/>
  <c r="E22" i="3"/>
  <c r="E32" i="5"/>
  <c r="R32" i="5" s="1"/>
  <c r="E19" i="2"/>
  <c r="E19" i="4"/>
  <c r="E12" i="3"/>
  <c r="E26" i="5"/>
  <c r="R26" i="5" s="1"/>
  <c r="E9" i="2"/>
  <c r="E9" i="3"/>
  <c r="E4" i="4"/>
  <c r="E5" i="4" s="1"/>
  <c r="E6" i="4" s="1"/>
  <c r="E11" i="2"/>
  <c r="E7" i="4"/>
  <c r="E14" i="3"/>
  <c r="E21" i="5"/>
  <c r="R21" i="5" s="1"/>
  <c r="E36" i="4"/>
  <c r="E36" i="3"/>
  <c r="E33" i="2"/>
  <c r="E31" i="4"/>
  <c r="E28" i="3"/>
  <c r="E19" i="5"/>
  <c r="R19" i="5" s="1"/>
  <c r="E25" i="2"/>
  <c r="E25" i="3"/>
  <c r="E12" i="5"/>
  <c r="R12" i="5" s="1"/>
  <c r="E22" i="2"/>
  <c r="E27" i="4"/>
  <c r="E31" i="5"/>
  <c r="R31" i="5" s="1"/>
  <c r="E24" i="4"/>
  <c r="E21" i="3"/>
  <c r="E14" i="1"/>
  <c r="R14" i="1" s="1"/>
  <c r="H4" i="4"/>
  <c r="H5" i="4" s="1"/>
  <c r="H6" i="4" s="1"/>
  <c r="H9" i="3"/>
  <c r="H4" i="2"/>
  <c r="E4" i="2"/>
  <c r="H16" i="3"/>
  <c r="H13" i="4"/>
  <c r="H13" i="1"/>
  <c r="H13" i="2"/>
  <c r="E11" i="1"/>
  <c r="R11" i="1" s="1"/>
  <c r="H32" i="5"/>
  <c r="H25" i="4"/>
  <c r="H22" i="3"/>
  <c r="H27" i="5"/>
  <c r="H34" i="4"/>
  <c r="H34" i="3"/>
  <c r="R5" i="1"/>
  <c r="H21" i="5"/>
  <c r="H36" i="4"/>
  <c r="H36" i="3"/>
  <c r="H31" i="2"/>
  <c r="H19" i="2"/>
  <c r="H85" i="1"/>
  <c r="I85" i="1" s="1"/>
  <c r="H75" i="1"/>
  <c r="I75" i="1" s="1"/>
  <c r="I3" i="7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H84" i="1" s="1"/>
  <c r="I84" i="1" s="1"/>
  <c r="I26" i="6"/>
  <c r="I27" i="6"/>
  <c r="I28" i="6"/>
  <c r="I29" i="6"/>
  <c r="I30" i="6"/>
  <c r="I31" i="6"/>
  <c r="I32" i="6"/>
  <c r="I33" i="6"/>
  <c r="I34" i="6"/>
  <c r="I35" i="6"/>
  <c r="I36" i="6"/>
  <c r="H74" i="1" s="1"/>
  <c r="I74" i="1" s="1"/>
  <c r="I37" i="6"/>
  <c r="I3" i="6"/>
  <c r="I4" i="5"/>
  <c r="I5" i="5"/>
  <c r="I6" i="5"/>
  <c r="H93" i="1" s="1"/>
  <c r="I93" i="1" s="1"/>
  <c r="I7" i="5"/>
  <c r="I8" i="5"/>
  <c r="I9" i="5"/>
  <c r="I10" i="5"/>
  <c r="I11" i="5"/>
  <c r="I12" i="5"/>
  <c r="I13" i="5"/>
  <c r="I14" i="5"/>
  <c r="I15" i="5"/>
  <c r="I16" i="5"/>
  <c r="H103" i="1" s="1"/>
  <c r="I103" i="1" s="1"/>
  <c r="I17" i="5"/>
  <c r="I18" i="5"/>
  <c r="I19" i="5"/>
  <c r="I20" i="5"/>
  <c r="I21" i="5"/>
  <c r="I22" i="5"/>
  <c r="I23" i="5"/>
  <c r="I24" i="5"/>
  <c r="H83" i="1" s="1"/>
  <c r="I83" i="1" s="1"/>
  <c r="I25" i="5"/>
  <c r="I26" i="5"/>
  <c r="I27" i="5"/>
  <c r="I28" i="5"/>
  <c r="I29" i="5"/>
  <c r="I30" i="5"/>
  <c r="I31" i="5"/>
  <c r="I32" i="5"/>
  <c r="H73" i="1" s="1"/>
  <c r="I73" i="1" s="1"/>
  <c r="I3" i="5"/>
  <c r="I4" i="4"/>
  <c r="I5" i="4"/>
  <c r="I6" i="4"/>
  <c r="I7" i="4"/>
  <c r="I8" i="4"/>
  <c r="I9" i="4"/>
  <c r="I10" i="4"/>
  <c r="I11" i="4"/>
  <c r="I12" i="4"/>
  <c r="I13" i="4"/>
  <c r="I14" i="4"/>
  <c r="H82" i="1" s="1"/>
  <c r="I82" i="1" s="1"/>
  <c r="I15" i="4"/>
  <c r="I16" i="4"/>
  <c r="I17" i="4"/>
  <c r="I18" i="4"/>
  <c r="I19" i="4"/>
  <c r="I20" i="4"/>
  <c r="I21" i="4"/>
  <c r="I22" i="4"/>
  <c r="I23" i="4"/>
  <c r="I24" i="4"/>
  <c r="I25" i="4"/>
  <c r="H72" i="1" s="1"/>
  <c r="I72" i="1" s="1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3" i="4"/>
  <c r="H2" i="4"/>
  <c r="I9" i="3"/>
  <c r="I10" i="3"/>
  <c r="I11" i="3"/>
  <c r="I12" i="3"/>
  <c r="I13" i="3"/>
  <c r="I14" i="3"/>
  <c r="I15" i="3"/>
  <c r="H81" i="1" s="1"/>
  <c r="I81" i="1" s="1"/>
  <c r="I16" i="3"/>
  <c r="I17" i="3"/>
  <c r="I18" i="3"/>
  <c r="I19" i="3"/>
  <c r="I20" i="3"/>
  <c r="I21" i="3"/>
  <c r="H71" i="1" s="1"/>
  <c r="I71" i="1" s="1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4" i="3"/>
  <c r="I5" i="3"/>
  <c r="I6" i="3"/>
  <c r="I7" i="3"/>
  <c r="I8" i="3"/>
  <c r="I3" i="3"/>
  <c r="H2" i="3"/>
  <c r="I4" i="2"/>
  <c r="I5" i="2"/>
  <c r="I6" i="2"/>
  <c r="I7" i="2"/>
  <c r="I8" i="2"/>
  <c r="I9" i="2"/>
  <c r="I10" i="2"/>
  <c r="I11" i="2"/>
  <c r="H90" i="1" s="1"/>
  <c r="I12" i="2"/>
  <c r="H80" i="1" s="1"/>
  <c r="I80" i="1" s="1"/>
  <c r="I13" i="2"/>
  <c r="I14" i="2"/>
  <c r="I15" i="2"/>
  <c r="I16" i="2"/>
  <c r="I17" i="2"/>
  <c r="I18" i="2"/>
  <c r="H70" i="1" s="1"/>
  <c r="I70" i="1" s="1"/>
  <c r="I19" i="2"/>
  <c r="I20" i="2"/>
  <c r="I21" i="2"/>
  <c r="H100" i="1" s="1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" i="2"/>
  <c r="I42" i="1"/>
  <c r="I4" i="1"/>
  <c r="I5" i="1"/>
  <c r="I6" i="1"/>
  <c r="I7" i="1"/>
  <c r="I8" i="1"/>
  <c r="I9" i="1"/>
  <c r="I10" i="1"/>
  <c r="I11" i="1"/>
  <c r="I12" i="1"/>
  <c r="I13" i="1"/>
  <c r="H99" i="1" s="1"/>
  <c r="I14" i="1"/>
  <c r="I15" i="1"/>
  <c r="I16" i="1"/>
  <c r="I17" i="1"/>
  <c r="I18" i="1"/>
  <c r="H69" i="1" s="1"/>
  <c r="I69" i="1" s="1"/>
  <c r="I19" i="1"/>
  <c r="I20" i="1"/>
  <c r="I21" i="1"/>
  <c r="I22" i="1"/>
  <c r="I23" i="1"/>
  <c r="I24" i="1"/>
  <c r="I25" i="1"/>
  <c r="I26" i="1"/>
  <c r="I27" i="1"/>
  <c r="I28" i="1"/>
  <c r="H79" i="1" s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3" i="1"/>
  <c r="H89" i="1" s="1"/>
  <c r="R16" i="5" l="1"/>
  <c r="E16" i="6" s="1"/>
  <c r="G103" i="1"/>
  <c r="I100" i="1"/>
  <c r="I106" i="1" s="1"/>
  <c r="H106" i="1"/>
  <c r="E19" i="7"/>
  <c r="E17" i="6"/>
  <c r="E36" i="6"/>
  <c r="E33" i="7"/>
  <c r="E8" i="7"/>
  <c r="E8" i="6"/>
  <c r="E14" i="7"/>
  <c r="E18" i="6"/>
  <c r="E14" i="6"/>
  <c r="E20" i="7"/>
  <c r="E7" i="7"/>
  <c r="E7" i="6"/>
  <c r="E13" i="2"/>
  <c r="E13" i="4"/>
  <c r="E16" i="3"/>
  <c r="E16" i="7"/>
  <c r="E15" i="6"/>
  <c r="E5" i="7"/>
  <c r="E5" i="6"/>
  <c r="E12" i="7"/>
  <c r="E12" i="6"/>
  <c r="E9" i="7"/>
  <c r="E9" i="6"/>
  <c r="E4" i="7"/>
  <c r="E4" i="6"/>
  <c r="E13" i="7"/>
  <c r="E13" i="6"/>
  <c r="E6" i="7"/>
  <c r="E6" i="6"/>
  <c r="E19" i="6"/>
  <c r="E21" i="7"/>
  <c r="E34" i="7"/>
  <c r="E37" i="6"/>
  <c r="I90" i="1"/>
  <c r="I76" i="1"/>
  <c r="H86" i="1"/>
  <c r="I79" i="1"/>
  <c r="I86" i="1" s="1"/>
  <c r="I89" i="1"/>
  <c r="I96" i="1" s="1"/>
  <c r="H96" i="1"/>
  <c r="H76" i="1"/>
  <c r="E15" i="1"/>
  <c r="R15" i="1" s="1"/>
  <c r="H15" i="4"/>
  <c r="H16" i="4"/>
  <c r="H17" i="4" s="1"/>
  <c r="H10" i="3"/>
  <c r="H17" i="3"/>
  <c r="H7" i="2"/>
  <c r="H14" i="2"/>
  <c r="H17" i="2" s="1"/>
  <c r="H14" i="1"/>
  <c r="H15" i="1" s="1"/>
  <c r="H37" i="6"/>
  <c r="H34" i="7"/>
  <c r="H5" i="6"/>
  <c r="H5" i="7"/>
  <c r="H14" i="6"/>
  <c r="H18" i="6"/>
  <c r="H20" i="7"/>
  <c r="H14" i="7"/>
  <c r="E18" i="7" l="1"/>
  <c r="E7" i="5"/>
  <c r="R7" i="5" s="1"/>
  <c r="E8" i="2"/>
  <c r="E11" i="3"/>
  <c r="E18" i="4"/>
  <c r="E16" i="1"/>
  <c r="E17" i="1" s="1"/>
  <c r="H7" i="5"/>
  <c r="H18" i="4"/>
  <c r="H11" i="3"/>
  <c r="H8" i="2"/>
  <c r="H16" i="1"/>
  <c r="H17" i="1" s="1"/>
  <c r="R16" i="1" l="1"/>
  <c r="R17" i="1"/>
  <c r="E21" i="1"/>
  <c r="H5" i="5"/>
  <c r="H15" i="5"/>
  <c r="H40" i="4"/>
  <c r="H23" i="4"/>
  <c r="H20" i="3"/>
  <c r="H13" i="3"/>
  <c r="H31" i="3"/>
  <c r="H20" i="4"/>
  <c r="H10" i="2"/>
  <c r="H21" i="1"/>
  <c r="H28" i="2"/>
  <c r="H36" i="2" s="1"/>
  <c r="H37" i="2" s="1"/>
  <c r="H38" i="2" s="1"/>
  <c r="E15" i="5" l="1"/>
  <c r="E28" i="2"/>
  <c r="E36" i="2" s="1"/>
  <c r="E37" i="2" s="1"/>
  <c r="E38" i="2" s="1"/>
  <c r="E40" i="4"/>
  <c r="E5" i="5"/>
  <c r="R5" i="5" s="1"/>
  <c r="E20" i="4"/>
  <c r="E31" i="3"/>
  <c r="E13" i="3"/>
  <c r="E23" i="4"/>
  <c r="E20" i="3"/>
  <c r="E10" i="2"/>
  <c r="H11" i="6"/>
  <c r="H11" i="7"/>
  <c r="H15" i="7" s="1"/>
  <c r="R21" i="1"/>
  <c r="E22" i="1"/>
  <c r="H21" i="4"/>
  <c r="H18" i="3"/>
  <c r="H22" i="1"/>
  <c r="E11" i="6" l="1"/>
  <c r="E11" i="7"/>
  <c r="E18" i="3"/>
  <c r="E21" i="4"/>
  <c r="H22" i="4"/>
  <c r="H19" i="3"/>
  <c r="H23" i="1"/>
  <c r="H37" i="1" s="1"/>
  <c r="H38" i="1" s="1"/>
  <c r="E20" i="5"/>
  <c r="R15" i="5"/>
  <c r="H10" i="6"/>
  <c r="H20" i="6"/>
  <c r="H21" i="6" s="1"/>
  <c r="H22" i="6" s="1"/>
  <c r="H23" i="6" s="1"/>
  <c r="H24" i="6" s="1"/>
  <c r="H27" i="6" s="1"/>
  <c r="H29" i="6" s="1"/>
  <c r="H30" i="6" s="1"/>
  <c r="H32" i="6" s="1"/>
  <c r="H33" i="6" s="1"/>
  <c r="H34" i="6" s="1"/>
  <c r="H35" i="6" s="1"/>
  <c r="E37" i="1"/>
  <c r="R22" i="1"/>
  <c r="E22" i="4" l="1"/>
  <c r="E19" i="3"/>
  <c r="E10" i="6"/>
  <c r="E20" i="6"/>
  <c r="E21" i="6" s="1"/>
  <c r="E22" i="6" s="1"/>
  <c r="R20" i="5"/>
  <c r="E28" i="5"/>
  <c r="H14" i="5"/>
  <c r="H41" i="4"/>
  <c r="H32" i="3"/>
  <c r="H29" i="2"/>
  <c r="H39" i="1"/>
  <c r="H40" i="1" s="1"/>
  <c r="H41" i="1" s="1"/>
  <c r="H42" i="1" s="1"/>
  <c r="H8" i="4" s="1"/>
  <c r="H9" i="4" s="1"/>
  <c r="H10" i="4" s="1"/>
  <c r="E38" i="1"/>
  <c r="R37" i="1"/>
  <c r="E23" i="7" l="1"/>
  <c r="E27" i="7" s="1"/>
  <c r="E28" i="7" s="1"/>
  <c r="E29" i="7" s="1"/>
  <c r="E31" i="7" s="1"/>
  <c r="E32" i="7" s="1"/>
  <c r="E22" i="7"/>
  <c r="E27" i="6"/>
  <c r="E29" i="6"/>
  <c r="E30" i="6" s="1"/>
  <c r="E32" i="6" s="1"/>
  <c r="H10" i="7"/>
  <c r="H20" i="5"/>
  <c r="E30" i="5"/>
  <c r="R30" i="5" s="1"/>
  <c r="E24" i="7" s="1"/>
  <c r="R28" i="5"/>
  <c r="R38" i="1"/>
  <c r="E39" i="1"/>
  <c r="E35" i="6" l="1"/>
  <c r="E34" i="6"/>
  <c r="E41" i="4"/>
  <c r="E29" i="2"/>
  <c r="E14" i="5"/>
  <c r="R14" i="5" s="1"/>
  <c r="E10" i="7" s="1"/>
  <c r="E32" i="3"/>
  <c r="H23" i="7"/>
  <c r="H22" i="7"/>
  <c r="H23" i="5"/>
  <c r="R39" i="1"/>
  <c r="E40" i="1"/>
  <c r="R40" i="1" l="1"/>
  <c r="E41" i="1"/>
  <c r="H28" i="5"/>
  <c r="H30" i="5" s="1"/>
  <c r="H24" i="7" s="1"/>
  <c r="H27" i="7" s="1"/>
  <c r="H28" i="7" s="1"/>
  <c r="H29" i="7" s="1"/>
  <c r="H30" i="7" s="1"/>
  <c r="H31" i="7" s="1"/>
  <c r="H32" i="7" s="1"/>
  <c r="H25" i="5"/>
  <c r="H17" i="7" s="1"/>
  <c r="R41" i="1" l="1"/>
  <c r="E42" i="1"/>
  <c r="R42" i="1" s="1"/>
  <c r="E8" i="4" s="1"/>
  <c r="E9" i="4" s="1"/>
  <c r="E10" i="4" s="1"/>
</calcChain>
</file>

<file path=xl/sharedStrings.xml><?xml version="1.0" encoding="utf-8"?>
<sst xmlns="http://schemas.openxmlformats.org/spreadsheetml/2006/main" count="2913" uniqueCount="561">
  <si>
    <t>Image</t>
  </si>
  <si>
    <t>ID Number</t>
  </si>
  <si>
    <t>Quantity</t>
  </si>
  <si>
    <t>Standard Number</t>
  </si>
  <si>
    <t>Sub Category</t>
  </si>
  <si>
    <t>Category</t>
  </si>
  <si>
    <t>Visible Part Size</t>
  </si>
  <si>
    <t/>
  </si>
  <si>
    <t>1</t>
  </si>
  <si>
    <t>TTBU250T5-100_info-1-18-18_1</t>
  </si>
  <si>
    <t>110.0 X 30.0 X 10.0</t>
  </si>
  <si>
    <t>MF_SUS304_1244</t>
  </si>
  <si>
    <t>25.0 X 53.0 X 51.0</t>
  </si>
  <si>
    <t>2</t>
  </si>
  <si>
    <t>MF_SUS304_0210_1432</t>
  </si>
  <si>
    <t>20.0 X 50.0 X 25.0</t>
  </si>
  <si>
    <t>MF_SUS204_1143</t>
  </si>
  <si>
    <t>25.0 X 63.0 X 56.0</t>
  </si>
  <si>
    <t>MF_Aluminum 6061_0202_176</t>
  </si>
  <si>
    <t>260.0 X 150.0 X 8.0</t>
  </si>
  <si>
    <t>HTPA18S5M100-A-N8-FC30.0</t>
  </si>
  <si>
    <t>31.0 X 16.0 X 31.0</t>
  </si>
  <si>
    <t>CV3_Pb108_Shutter 2_MIR</t>
  </si>
  <si>
    <t>395.0 X 19.0 X 10.0</t>
  </si>
  <si>
    <t>CV3_Pb108_Shutter 2</t>
  </si>
  <si>
    <t>CV3_Pb108-1_UV</t>
  </si>
  <si>
    <t>344.0 X 26.0 X 16.0</t>
  </si>
  <si>
    <t>CV3_Belt 1_Shutter 2</t>
  </si>
  <si>
    <t>394.0 X 20.0 X 80.0</t>
  </si>
  <si>
    <t>CV3_AL_Shutter 2</t>
  </si>
  <si>
    <t>395.0 X 12.0 X 89.0</t>
  </si>
  <si>
    <t>CV3_AL_Shutter 2 MIR</t>
  </si>
  <si>
    <t>CV3_AL 9 Shutter 2</t>
  </si>
  <si>
    <t>60.0 X 20.0 X 63.0</t>
  </si>
  <si>
    <t>CV3_AL 32_Shutter 2</t>
  </si>
  <si>
    <t>245.0 X 200.0 X 12.0</t>
  </si>
  <si>
    <t>CV3_AL 10.</t>
  </si>
  <si>
    <t>15.0 X 8.0 X 35.0</t>
  </si>
  <si>
    <t>S6I06G-GX</t>
  </si>
  <si>
    <t>100.0 X 60.0 X 62.0</t>
  </si>
  <si>
    <t>S6KA3-15</t>
  </si>
  <si>
    <t>60.0 X 60.0 X 63.0</t>
  </si>
  <si>
    <t>KES3-12</t>
  </si>
  <si>
    <t>12.0 X 3.0 X 3.0</t>
  </si>
  <si>
    <t>MF_Al6061_841</t>
  </si>
  <si>
    <t>10.0 X 70.0 X 70.0</t>
  </si>
  <si>
    <t>MF_Al6061_845</t>
  </si>
  <si>
    <t>16.0 X 25.0 X 62.0</t>
  </si>
  <si>
    <t>MF_Urethan 90_1119</t>
  </si>
  <si>
    <t>4</t>
  </si>
  <si>
    <t>CV3_Pulley 1</t>
  </si>
  <si>
    <t>24.0 X 23.0 X 24.0</t>
  </si>
  <si>
    <t>16</t>
  </si>
  <si>
    <t>SB688ZZ</t>
  </si>
  <si>
    <t>16.0 X 5.0 X 16.0</t>
  </si>
  <si>
    <t>CV3_Shaft 5</t>
  </si>
  <si>
    <t>12.0 X 30.0 X 12.0</t>
  </si>
  <si>
    <t>8</t>
  </si>
  <si>
    <t>STWN8_Misumi</t>
  </si>
  <si>
    <t>1.0 X 10.0 X 13.0</t>
  </si>
  <si>
    <t>CV3_Pulley</t>
  </si>
  <si>
    <t>21.0 X 20.0 X 21.0</t>
  </si>
  <si>
    <t>CV3_Shaft 1</t>
  </si>
  <si>
    <t>12.0 X 29.0 X 12.0</t>
  </si>
  <si>
    <t>CV3_Shaft 4</t>
  </si>
  <si>
    <t>11.0 X 10.0 X 205.0</t>
  </si>
  <si>
    <t>CV3_Pulley 2</t>
  </si>
  <si>
    <t>34.0 X 31.0 X 34.0</t>
  </si>
  <si>
    <t>SB6000ZZ</t>
  </si>
  <si>
    <t>26.0 X 8.0 X 26.0</t>
  </si>
  <si>
    <t>STWN10</t>
  </si>
  <si>
    <t>1.0 X 15.0 X 13.0</t>
  </si>
  <si>
    <t>HTPA18S5M100-B-N10-FC30.0_Misumi</t>
  </si>
  <si>
    <t>28.0 X 30.0 X 30.0</t>
  </si>
  <si>
    <t>3</t>
  </si>
  <si>
    <t>KES3-15</t>
  </si>
  <si>
    <t>15.0 X 3.0 X 3.0</t>
  </si>
  <si>
    <t>CV3_Shaft 3</t>
  </si>
  <si>
    <t>12.0 X 34.0 X 12.0</t>
  </si>
  <si>
    <t>CV3_AL 7</t>
  </si>
  <si>
    <t>CV3_AL 8</t>
  </si>
  <si>
    <t>22.0 X 8.0 X 35.0</t>
  </si>
  <si>
    <t>MF_Aluminum 6061_0202_1757</t>
  </si>
  <si>
    <t>150.0 X 43.0 X 15.0</t>
  </si>
  <si>
    <t>MF_Aluminum 6061_0202_179</t>
  </si>
  <si>
    <t>100.0 X 35.0 X 8.0</t>
  </si>
  <si>
    <t>MF_Aluminum 6061_0202_2083</t>
  </si>
  <si>
    <t>100.0 X 15.0 X 8.0</t>
  </si>
  <si>
    <t>MF_Aluminum 6061_0202_2087</t>
  </si>
  <si>
    <t>60.0 X 12.0 X 10.0</t>
  </si>
  <si>
    <t xml:space="preserve">CONVEYOR_Z0000002-508684_ Code_Conveyor_Shutter 2 </t>
  </si>
  <si>
    <t>CV3_Pb108_UV</t>
  </si>
  <si>
    <t>150.0 X 20.0 X 10.0</t>
  </si>
  <si>
    <t>Auto CTQ Machine - Conveyor - P034 copy</t>
  </si>
  <si>
    <t>MF_PB108_1404</t>
  </si>
  <si>
    <t>83.0 X 11.0 X 20.0</t>
  </si>
  <si>
    <t>CV3_Pb108_UV_MIR</t>
  </si>
  <si>
    <t>396.0 X 20.0 X 22.0</t>
  </si>
  <si>
    <t>CV3_AL 2 _UV_53</t>
  </si>
  <si>
    <t>CV3_AL 9 uv</t>
  </si>
  <si>
    <t>CV3_Belt 1_UV</t>
  </si>
  <si>
    <t>CV3_AL 2 _UV_3</t>
  </si>
  <si>
    <t>MF_SUS304_0210_1454_1</t>
  </si>
  <si>
    <t>10.0 X 40.0 X 29.0</t>
  </si>
  <si>
    <t>MF_SUS304_0210_1454_MIR_1</t>
  </si>
  <si>
    <t>20.0 X 40.0 X 29.0</t>
  </si>
  <si>
    <t>CV3_AL 3_UV</t>
  </si>
  <si>
    <t>395.0 X 200.0 X 12.0</t>
  </si>
  <si>
    <t>MF_Al6061_1323</t>
  </si>
  <si>
    <t>36.0 X 10.0 X 65.0</t>
  </si>
  <si>
    <t>MF_Al6061_1021</t>
  </si>
  <si>
    <t>32.0 X 7.0 X 50.0</t>
  </si>
  <si>
    <t>MF_Al6061_1325</t>
  </si>
  <si>
    <t>60.0 X 10.0 X 20.0</t>
  </si>
  <si>
    <t xml:space="preserve">CONVEYOR_Z0000002-508700_ Code_Conveyor_UV - BOM </t>
  </si>
  <si>
    <t>CV3_AL 3_UV 6234</t>
  </si>
  <si>
    <t>MF_PB108 Black_56</t>
  </si>
  <si>
    <t>MF_PB108 Black_57</t>
  </si>
  <si>
    <t>MF_SUS304_0213</t>
  </si>
  <si>
    <t>20.0 X 50.0 X 21.0</t>
  </si>
  <si>
    <t>MF_SUS304_0212</t>
  </si>
  <si>
    <t>MF_SUS204_1234</t>
  </si>
  <si>
    <t>CV3_AL 2 _UV_MIR</t>
  </si>
  <si>
    <t>CV3_AL 2 _UV</t>
  </si>
  <si>
    <t xml:space="preserve">CONVEYOR_Z0000002-508701_ Code_Conveyor Transfer - BOM </t>
  </si>
  <si>
    <t>MF_SUS304_0210_1456 MIR</t>
  </si>
  <si>
    <t>MF_SUS304_0210_1456</t>
  </si>
  <si>
    <t>MF_Aluminum 6061_0202_1</t>
  </si>
  <si>
    <t>120.0 X 61.0 X 20.0</t>
  </si>
  <si>
    <t>MF_Aluminum 6061_0202_1854</t>
  </si>
  <si>
    <t>220.0 X 152.0 X 10.0</t>
  </si>
  <si>
    <t>CV3_Pb108_Shutter_MIR</t>
  </si>
  <si>
    <t>CV3_Pb108_Shutter</t>
  </si>
  <si>
    <t>CV3_AL_Shutter</t>
  </si>
  <si>
    <t>CV3_AL_Shutter MIR</t>
  </si>
  <si>
    <t>CV3_AL 32_Shutter_1</t>
  </si>
  <si>
    <t>CV3_AL 9 Shutter 1</t>
  </si>
  <si>
    <t xml:space="preserve">CONVEYOR_Z0000002-508703_ Code_Conveyor_Shutter_1 - BOM </t>
  </si>
  <si>
    <t>Sensor bracket_SUS304_1</t>
  </si>
  <si>
    <t>25.0 X 50.0 X 58.0</t>
  </si>
  <si>
    <t>ISO 4762 - M5 x 35</t>
  </si>
  <si>
    <t>40.0 X 9.0 X 9.0</t>
  </si>
  <si>
    <t>TTBU225T5-100_info-1-18-18_copy</t>
  </si>
  <si>
    <t>98.0 X 30.0 X 10.0</t>
  </si>
  <si>
    <t>CV3_AL 9</t>
  </si>
  <si>
    <t>HTPA18S5M100-B-N10_Misumi</t>
  </si>
  <si>
    <t>ISO 4017 - M5 x 40</t>
  </si>
  <si>
    <t>44.0 X 10.0 X 9.0</t>
  </si>
  <si>
    <t>Solid187_1</t>
  </si>
  <si>
    <t>5.0 X 10.0 X 9.0</t>
  </si>
  <si>
    <t>CV3_AL 2_MIR</t>
  </si>
  <si>
    <t>275.0 X 12.0 X 89.0</t>
  </si>
  <si>
    <t>CV3_Pb108-2</t>
  </si>
  <si>
    <t>276.0 X 19.0 X 11.0</t>
  </si>
  <si>
    <t>CV3_Belt 1</t>
  </si>
  <si>
    <t>274.0 X 20.0 X 80.0</t>
  </si>
  <si>
    <t>CV3_Pb108-1</t>
  </si>
  <si>
    <t>224.0 X 26.0 X 16.0</t>
  </si>
  <si>
    <t>HTPA18S5M100-A-N8</t>
  </si>
  <si>
    <t>CV3_AL 2</t>
  </si>
  <si>
    <t>CV3_AL 3</t>
  </si>
  <si>
    <t>275.0 X 200.0 X 12.0</t>
  </si>
  <si>
    <t xml:space="preserve">CONVEYOR_Z0000002-508704_ Code Conveyor No 1_AVI Back side - BOM </t>
  </si>
  <si>
    <t xml:space="preserve">3D_Z0000002-508707 - BOM </t>
  </si>
  <si>
    <t>TTBU250T5-100_info-1-18-18_L=570mm</t>
  </si>
  <si>
    <t>STWN8_L=570mm</t>
  </si>
  <si>
    <t>STWN10_L=570mm</t>
  </si>
  <si>
    <t>SB688ZZ_L=570mm</t>
  </si>
  <si>
    <t>SB6000ZZ_L=570mm</t>
  </si>
  <si>
    <t>HTPA18S5M100-B-N10-FC30.0_L=570mm</t>
  </si>
  <si>
    <t>HTPA18S5M100-A-N8-FC30.0_L=570mm</t>
  </si>
  <si>
    <t>Auto Vision Inspection TOP - P220_L=570mm</t>
  </si>
  <si>
    <t>20.0 X 8.0 X 35.0</t>
  </si>
  <si>
    <t>Auto Vision Inspection TOP - P219_L=570mm</t>
  </si>
  <si>
    <t>Auto Vision Inspection TOP - P218_L=570mm</t>
  </si>
  <si>
    <t>Auto Vision Inspection TOP - P217_L=570mm</t>
  </si>
  <si>
    <t>Auto Vision Inspection TOP - P215_L=570mm</t>
  </si>
  <si>
    <t>Auto Vision Inspection TOP - P213_L=570mm</t>
  </si>
  <si>
    <t>Auto Vision Inspection TOP - P211_L=570mm</t>
  </si>
  <si>
    <t>Auto Vision Inspection TOP - P210_L=570mm</t>
  </si>
  <si>
    <t>Auto Vision Inspection TOP - P209_L=570mm</t>
  </si>
  <si>
    <t>Auto Vision Inspection TOP - P208_L=570mm</t>
  </si>
  <si>
    <t>Auto CTQ Machine - P076_L=570mm</t>
  </si>
  <si>
    <t>557.0 X 200.0 X 12.0</t>
  </si>
  <si>
    <t>Auto CTQ Machine - P075_L=570mm</t>
  </si>
  <si>
    <t>557.0 X 12.0 X 89.0</t>
  </si>
  <si>
    <t>Auto CTQ Machine - P074_L=570mm</t>
  </si>
  <si>
    <t>Auto CTQ Machine - P073_L=570mm</t>
  </si>
  <si>
    <t>506.0 X 26.0 X 16.0</t>
  </si>
  <si>
    <t>Auto CTQ Machine - P072_L=570mm</t>
  </si>
  <si>
    <t>557.0 X 15.0 X 10.0</t>
  </si>
  <si>
    <t>Auto CTQ Machine - D_X_E2y Belt CV 405mm_L=570mm</t>
  </si>
  <si>
    <t>556.0 X 20.0 X 80.0</t>
  </si>
  <si>
    <t>260226_Order_PB108_0822</t>
  </si>
  <si>
    <t>260226_Order_AL6061_0828</t>
  </si>
  <si>
    <t>10.0 X 101.0 X 20.0</t>
  </si>
  <si>
    <t>210226_Order_SUS304_1322</t>
  </si>
  <si>
    <t>52.0 X 75.0 X 30.0</t>
  </si>
  <si>
    <t>210226_Order_Al6061_0930</t>
  </si>
  <si>
    <t>10.0 X 63.0 X 90.0</t>
  </si>
  <si>
    <t>210226_Order_AL6061_0929</t>
  </si>
  <si>
    <t>10.0 X 30.0 X 35.0</t>
  </si>
  <si>
    <t>151225_Oder_SUS304_1412</t>
  </si>
  <si>
    <t>11.0 X 24.0 X 23.0</t>
  </si>
  <si>
    <t>310126_Order_AL6061_1500</t>
  </si>
  <si>
    <t>56.0 X 27.0 X 18.0</t>
  </si>
  <si>
    <t>310126_Order_Urethane _1501 copy</t>
  </si>
  <si>
    <t>56.0 X 5.0 X 10.0</t>
  </si>
  <si>
    <t>140226_Order_AL6061_1530</t>
  </si>
  <si>
    <t>10.0 X 58.0 X 48.0</t>
  </si>
  <si>
    <t>140226_Order_AL6061_1531</t>
  </si>
  <si>
    <t>10.0 X 58.0 X 30.0</t>
  </si>
  <si>
    <t>S6I06G-GX_L=570mm</t>
  </si>
  <si>
    <t>S6KA3-15_L=570mm</t>
  </si>
  <si>
    <t xml:space="preserve">3D_Z0000002-508708 - BOM </t>
  </si>
  <si>
    <t>STWN8</t>
  </si>
  <si>
    <t>Auto Vision Inspection TOP - P220</t>
  </si>
  <si>
    <t>Auto Vision Inspection TOP - P219</t>
  </si>
  <si>
    <t>Auto Vision Inspection TOP - P218</t>
  </si>
  <si>
    <t>Auto Vision Inspection TOP - P217</t>
  </si>
  <si>
    <t>Auto Vision Inspection TOP - P215</t>
  </si>
  <si>
    <t>Auto Vision Inspection TOP - P214</t>
  </si>
  <si>
    <t>275.0 X 15.0 X 10.0</t>
  </si>
  <si>
    <t>Auto Vision Inspection TOP - P213</t>
  </si>
  <si>
    <t>Auto Vision Inspection TOP - P212</t>
  </si>
  <si>
    <t>Auto Vision Inspection TOP - P211</t>
  </si>
  <si>
    <t>Auto Vision Inspection TOP - P210</t>
  </si>
  <si>
    <t>Auto Vision Inspection TOP - P209</t>
  </si>
  <si>
    <t>Auto Vision Inspection TOP - P208</t>
  </si>
  <si>
    <t>Auto Vision Inspection TOP - P207</t>
  </si>
  <si>
    <t>Auto Vision Inspection TOP - P206</t>
  </si>
  <si>
    <t>Auto Vision Inspection TOP - P205</t>
  </si>
  <si>
    <t>Auto Vision Inspection TOP - D_X_E2y Belt CV</t>
  </si>
  <si>
    <t>NCC/vật tư</t>
  </si>
  <si>
    <t>SL</t>
  </si>
  <si>
    <t>AB01</t>
  </si>
  <si>
    <t>AB02</t>
  </si>
  <si>
    <t>AB03</t>
  </si>
  <si>
    <t>AB04</t>
  </si>
  <si>
    <t>AB05</t>
  </si>
  <si>
    <t>AB06</t>
  </si>
  <si>
    <t>AB07</t>
  </si>
  <si>
    <t>AB08</t>
  </si>
  <si>
    <t>AB09</t>
  </si>
  <si>
    <t>AB10</t>
  </si>
  <si>
    <t>AB11</t>
  </si>
  <si>
    <t>AB12</t>
  </si>
  <si>
    <t>AB13</t>
  </si>
  <si>
    <t>AB14</t>
  </si>
  <si>
    <t>AB15</t>
  </si>
  <si>
    <t>AB16</t>
  </si>
  <si>
    <t>AB17</t>
  </si>
  <si>
    <t>AB18</t>
  </si>
  <si>
    <t>AB19</t>
  </si>
  <si>
    <t>AB20</t>
  </si>
  <si>
    <t>AB21</t>
  </si>
  <si>
    <t>AB22</t>
  </si>
  <si>
    <t>AB23</t>
  </si>
  <si>
    <t>AB24</t>
  </si>
  <si>
    <t>AB25</t>
  </si>
  <si>
    <t>AB26</t>
  </si>
  <si>
    <t>AB27</t>
  </si>
  <si>
    <t>AB28</t>
  </si>
  <si>
    <t>AB29</t>
  </si>
  <si>
    <t>AB30</t>
  </si>
  <si>
    <t>AB31</t>
  </si>
  <si>
    <t>AB32</t>
  </si>
  <si>
    <t>AB33</t>
  </si>
  <si>
    <t>AB34</t>
  </si>
  <si>
    <t>AB35</t>
  </si>
  <si>
    <t>AB36</t>
  </si>
  <si>
    <t>AB37</t>
  </si>
  <si>
    <t>AB38</t>
  </si>
  <si>
    <t>AB39</t>
  </si>
  <si>
    <t>AB40</t>
  </si>
  <si>
    <t>AC01</t>
  </si>
  <si>
    <t>AC02</t>
  </si>
  <si>
    <t>AC03</t>
  </si>
  <si>
    <t>AC04</t>
  </si>
  <si>
    <t>AC05</t>
  </si>
  <si>
    <t>AC06</t>
  </si>
  <si>
    <t>AC07</t>
  </si>
  <si>
    <t>AC08</t>
  </si>
  <si>
    <t>AC09</t>
  </si>
  <si>
    <t>AC10</t>
  </si>
  <si>
    <t>AC11</t>
  </si>
  <si>
    <t>AC12</t>
  </si>
  <si>
    <t>AC13</t>
  </si>
  <si>
    <t>AC14</t>
  </si>
  <si>
    <t>AC15</t>
  </si>
  <si>
    <t>AC16</t>
  </si>
  <si>
    <t>AC17</t>
  </si>
  <si>
    <t>AC18</t>
  </si>
  <si>
    <t>AC19</t>
  </si>
  <si>
    <t>AC20</t>
  </si>
  <si>
    <t>AC21</t>
  </si>
  <si>
    <t>AC22</t>
  </si>
  <si>
    <t>AC23</t>
  </si>
  <si>
    <t>AC24</t>
  </si>
  <si>
    <t>AC25</t>
  </si>
  <si>
    <t>AC26</t>
  </si>
  <si>
    <t>AC27</t>
  </si>
  <si>
    <t>AC28</t>
  </si>
  <si>
    <t>AC29</t>
  </si>
  <si>
    <t>AC30</t>
  </si>
  <si>
    <t>AC31</t>
  </si>
  <si>
    <t>AC32</t>
  </si>
  <si>
    <t>AC33</t>
  </si>
  <si>
    <t>AC34</t>
  </si>
  <si>
    <t>AC35</t>
  </si>
  <si>
    <t>AC36</t>
  </si>
  <si>
    <t>AD01</t>
  </si>
  <si>
    <t>AD02</t>
  </si>
  <si>
    <t>AD03</t>
  </si>
  <si>
    <t>AD04</t>
  </si>
  <si>
    <t>AD05</t>
  </si>
  <si>
    <t>AD06</t>
  </si>
  <si>
    <t>AD07</t>
  </si>
  <si>
    <t>AD08</t>
  </si>
  <si>
    <t>AD09</t>
  </si>
  <si>
    <t>AD10</t>
  </si>
  <si>
    <t>AD11</t>
  </si>
  <si>
    <t>AD12</t>
  </si>
  <si>
    <t>AD13</t>
  </si>
  <si>
    <t>AD14</t>
  </si>
  <si>
    <t>AD15</t>
  </si>
  <si>
    <t>AD16</t>
  </si>
  <si>
    <t>AD17</t>
  </si>
  <si>
    <t>AD18</t>
  </si>
  <si>
    <t>AD19</t>
  </si>
  <si>
    <t>AD20</t>
  </si>
  <si>
    <t>AD21</t>
  </si>
  <si>
    <t>AD22</t>
  </si>
  <si>
    <t>AD23</t>
  </si>
  <si>
    <t>AD24</t>
  </si>
  <si>
    <t>AD25</t>
  </si>
  <si>
    <t>AD26</t>
  </si>
  <si>
    <t>AD27</t>
  </si>
  <si>
    <t>AD28</t>
  </si>
  <si>
    <t>AD29</t>
  </si>
  <si>
    <t>AD30</t>
  </si>
  <si>
    <t>AD31</t>
  </si>
  <si>
    <t>AD32</t>
  </si>
  <si>
    <t>AD33</t>
  </si>
  <si>
    <t>AD34</t>
  </si>
  <si>
    <t>AD35</t>
  </si>
  <si>
    <t>AD36</t>
  </si>
  <si>
    <t>AE01</t>
  </si>
  <si>
    <t>AE02</t>
  </si>
  <si>
    <t>AE03</t>
  </si>
  <si>
    <t>AE04</t>
  </si>
  <si>
    <t>AE05</t>
  </si>
  <si>
    <t>AE06</t>
  </si>
  <si>
    <t>AE07</t>
  </si>
  <si>
    <t>AE08</t>
  </si>
  <si>
    <t>AE09</t>
  </si>
  <si>
    <t>AE10</t>
  </si>
  <si>
    <t>AE11</t>
  </si>
  <si>
    <t>AE12</t>
  </si>
  <si>
    <t>AE13</t>
  </si>
  <si>
    <t>AE14</t>
  </si>
  <si>
    <t>AE15</t>
  </si>
  <si>
    <t>AE16</t>
  </si>
  <si>
    <t>AE17</t>
  </si>
  <si>
    <t>AE18</t>
  </si>
  <si>
    <t>AE19</t>
  </si>
  <si>
    <t>AE20</t>
  </si>
  <si>
    <t>AE21</t>
  </si>
  <si>
    <t>AE22</t>
  </si>
  <si>
    <t>AE23</t>
  </si>
  <si>
    <t>AE24</t>
  </si>
  <si>
    <t>AE25</t>
  </si>
  <si>
    <t>AE26</t>
  </si>
  <si>
    <t>AE27</t>
  </si>
  <si>
    <t>AE28</t>
  </si>
  <si>
    <t>AE29</t>
  </si>
  <si>
    <t>AE30</t>
  </si>
  <si>
    <t>AE31</t>
  </si>
  <si>
    <t>AE32</t>
  </si>
  <si>
    <t>AE33</t>
  </si>
  <si>
    <t>AE34</t>
  </si>
  <si>
    <t>AE35</t>
  </si>
  <si>
    <t>AE36</t>
  </si>
  <si>
    <t>AE37</t>
  </si>
  <si>
    <t>AE38</t>
  </si>
  <si>
    <t>AE39</t>
  </si>
  <si>
    <t>AG01</t>
  </si>
  <si>
    <t>AG02</t>
  </si>
  <si>
    <t>AG03</t>
  </si>
  <si>
    <t>AG04</t>
  </si>
  <si>
    <t>AG05</t>
  </si>
  <si>
    <t>AG06</t>
  </si>
  <si>
    <t>AG07</t>
  </si>
  <si>
    <t>AG08</t>
  </si>
  <si>
    <t>AG09</t>
  </si>
  <si>
    <t>AG10</t>
  </si>
  <si>
    <t>AG11</t>
  </si>
  <si>
    <t>AG12</t>
  </si>
  <si>
    <t>AG13</t>
  </si>
  <si>
    <t>AG14</t>
  </si>
  <si>
    <t>AG15</t>
  </si>
  <si>
    <t>AG16</t>
  </si>
  <si>
    <t>AG17</t>
  </si>
  <si>
    <t>AG18</t>
  </si>
  <si>
    <t>AG19</t>
  </si>
  <si>
    <t>AG20</t>
  </si>
  <si>
    <t>AG21</t>
  </si>
  <si>
    <t>AG22</t>
  </si>
  <si>
    <t>AG23</t>
  </si>
  <si>
    <t>AG24</t>
  </si>
  <si>
    <t>AG25</t>
  </si>
  <si>
    <t>AG26</t>
  </si>
  <si>
    <t>AG27</t>
  </si>
  <si>
    <t>AG28</t>
  </si>
  <si>
    <t>AG29</t>
  </si>
  <si>
    <t>AG30</t>
  </si>
  <si>
    <t>AH01</t>
  </si>
  <si>
    <t>AH02</t>
  </si>
  <si>
    <t>AH03</t>
  </si>
  <si>
    <t>AH04</t>
  </si>
  <si>
    <t>AH05</t>
  </si>
  <si>
    <t>AH06</t>
  </si>
  <si>
    <t>AH07</t>
  </si>
  <si>
    <t>AH08</t>
  </si>
  <si>
    <t>AH09</t>
  </si>
  <si>
    <t>AH10</t>
  </si>
  <si>
    <t>AH11</t>
  </si>
  <si>
    <t>AH12</t>
  </si>
  <si>
    <t>AH13</t>
  </si>
  <si>
    <t>AH14</t>
  </si>
  <si>
    <t>AH15</t>
  </si>
  <si>
    <t>AH16</t>
  </si>
  <si>
    <t>AH17</t>
  </si>
  <si>
    <t>AH18</t>
  </si>
  <si>
    <t>AH19</t>
  </si>
  <si>
    <t>AH20</t>
  </si>
  <si>
    <t>AH21</t>
  </si>
  <si>
    <t>AH22</t>
  </si>
  <si>
    <t>AH23</t>
  </si>
  <si>
    <t>AH24</t>
  </si>
  <si>
    <t>AH25</t>
  </si>
  <si>
    <t>AH26</t>
  </si>
  <si>
    <t>AH27</t>
  </si>
  <si>
    <t>AH28</t>
  </si>
  <si>
    <t>AH29</t>
  </si>
  <si>
    <t>AH30</t>
  </si>
  <si>
    <t>AH31</t>
  </si>
  <si>
    <t>AH32</t>
  </si>
  <si>
    <t>AH33</t>
  </si>
  <si>
    <t>AH34</t>
  </si>
  <si>
    <t>AH35</t>
  </si>
  <si>
    <t>AI01</t>
  </si>
  <si>
    <t>AI02</t>
  </si>
  <si>
    <t>AI03</t>
  </si>
  <si>
    <t>AI04</t>
  </si>
  <si>
    <t>AI05</t>
  </si>
  <si>
    <t>AI06</t>
  </si>
  <si>
    <t>AI07</t>
  </si>
  <si>
    <t>AI08</t>
  </si>
  <si>
    <t>AI09</t>
  </si>
  <si>
    <t>AI10</t>
  </si>
  <si>
    <t>AI11</t>
  </si>
  <si>
    <t>AI12</t>
  </si>
  <si>
    <t>AI13</t>
  </si>
  <si>
    <t>AI14</t>
  </si>
  <si>
    <t>AI15</t>
  </si>
  <si>
    <t>AI16</t>
  </si>
  <si>
    <t>AI17</t>
  </si>
  <si>
    <t>AI18</t>
  </si>
  <si>
    <t>AI19</t>
  </si>
  <si>
    <t>AI20</t>
  </si>
  <si>
    <t>AI21</t>
  </si>
  <si>
    <t>AI22</t>
  </si>
  <si>
    <t>AI23</t>
  </si>
  <si>
    <t>AI24</t>
  </si>
  <si>
    <t>AI25</t>
  </si>
  <si>
    <t>AI26</t>
  </si>
  <si>
    <t>AI27</t>
  </si>
  <si>
    <t>AI28</t>
  </si>
  <si>
    <t>AI29</t>
  </si>
  <si>
    <t>AI30</t>
  </si>
  <si>
    <t>AI31</t>
  </si>
  <si>
    <t>AI32</t>
  </si>
  <si>
    <t>MI</t>
  </si>
  <si>
    <t>BOM gốc</t>
  </si>
  <si>
    <t>Ghi chú</t>
  </si>
  <si>
    <t>TTBU250T5-100 --&gt; đổi sang C-TTBN250T5-150</t>
  </si>
  <si>
    <t>CG</t>
  </si>
  <si>
    <t>SUS304, điện hóa</t>
  </si>
  <si>
    <t>AL6061 anode đen</t>
  </si>
  <si>
    <t>UP</t>
  </si>
  <si>
    <t>HTPA18S5M100-A-N8-FC30.0 đổi sang HTPA18S5M150-A-N8-FC30.0</t>
  </si>
  <si>
    <t>PB108</t>
  </si>
  <si>
    <t>Belt</t>
  </si>
  <si>
    <t>GTAM</t>
  </si>
  <si>
    <t>S6I06GX-12CE và bộ đk tốc độ SUA06IX-V12</t>
  </si>
  <si>
    <t>SPG</t>
  </si>
  <si>
    <t>Chốt cài KES-12</t>
  </si>
  <si>
    <t>Urethan</t>
  </si>
  <si>
    <t>Vòng bi SB688ZZ</t>
  </si>
  <si>
    <t>Rulo</t>
  </si>
  <si>
    <t>Phanh trục</t>
  </si>
  <si>
    <t>Phanh trục STWN8</t>
  </si>
  <si>
    <t>Chốt cài</t>
  </si>
  <si>
    <t>Trục</t>
  </si>
  <si>
    <t>Vòng bi SB6000ZZ</t>
  </si>
  <si>
    <t>phanh trục STWN10</t>
  </si>
  <si>
    <t>HTPA18S5M100-B-N10-FC30.0 đổi sang HTPA18S5M150-B-N10-FC30.0</t>
  </si>
  <si>
    <t>Chốt cài KES-15</t>
  </si>
  <si>
    <t>giống cột E</t>
  </si>
  <si>
    <t>Bulong/ đệm</t>
  </si>
  <si>
    <t>Bulong/đệm</t>
  </si>
  <si>
    <t>giống cột G</t>
  </si>
  <si>
    <t>Urethane</t>
  </si>
  <si>
    <t>Thống kê vòng bi lô 7 CV</t>
  </si>
  <si>
    <t>belt PU đen, chống tĩnh điện, ép viền chống xước, dày 1.5mm, bản rộng 20mm,  chu vi 1210mm ( đo mép trong 1219mm, chốt căn chỉnh ở giữa )</t>
  </si>
  <si>
    <t xml:space="preserve">belt PU đen, chống tĩnh điện, độ dày 1.5m, bản rộng 20mm, chu vi 650mm (đo mép trong 655mm, chốt căn chỉnh ở giữa) </t>
  </si>
  <si>
    <t>S6I06GX-12CE/ bộ đk tốc độ SUA06IX-V12/ hộp số S6KA3-15</t>
  </si>
  <si>
    <t>Thống kê đặt SPG</t>
  </si>
  <si>
    <t>note 1</t>
  </si>
  <si>
    <t>Note 1</t>
  </si>
  <si>
    <t>Thống kê đặt belt</t>
  </si>
  <si>
    <t>belt PU đen, chống tĩnh điện, ép viền chống xước, dày 1.5mm, bản rộng 20mm, chu vi 890mm( đo mép trong 895mm, chốt cân chỉnh đang ở giữa )</t>
  </si>
  <si>
    <t>Vòng bi SB688ZZ --&gt; đổi sang C-SE688ZZ</t>
  </si>
  <si>
    <t>Vòng bi SB6000ZZ --&gt; đổi sang C-SE6000ZZ</t>
  </si>
  <si>
    <t>hộp số S6KA15B</t>
  </si>
  <si>
    <t>đã nhận hàng 27/3</t>
  </si>
  <si>
    <t>VB C-SE688ZZ</t>
  </si>
  <si>
    <t>VB C-SE6000ZZ</t>
  </si>
  <si>
    <t>đã tồn kho</t>
  </si>
  <si>
    <t>đã tồn kho sẵn</t>
  </si>
  <si>
    <t>xong nc1</t>
  </si>
  <si>
    <t>chưa gc</t>
  </si>
  <si>
    <t>NG báo đã nhận 27 set, đủ lô 7CV</t>
  </si>
  <si>
    <t>đã chốt HH</t>
  </si>
  <si>
    <t>đã chốt đặt, dự kiến về trước 10/4</t>
  </si>
  <si>
    <t>đã xong</t>
  </si>
  <si>
    <t>TTBU225T5-100 --&gt; đổi sang  C-TTBN225T5-150</t>
  </si>
  <si>
    <t>đặt tổng 432, đã về hàng 9/4</t>
  </si>
  <si>
    <t>Lần 1</t>
  </si>
  <si>
    <t>lần 2</t>
  </si>
  <si>
    <t>đã nhận đủ hàng 9/4</t>
  </si>
  <si>
    <t>Triển khai lần 2</t>
  </si>
  <si>
    <t>9/4 đã xong</t>
  </si>
  <si>
    <t>đã xong 9/4</t>
  </si>
  <si>
    <t>triển khai lần 1, sl 2</t>
  </si>
  <si>
    <t>lần 1/ 1 line</t>
  </si>
  <si>
    <t>lần 2/ * 6 lines</t>
  </si>
  <si>
    <t>lần 2, số lượng * 6</t>
  </si>
  <si>
    <t>Thống kê đặt belt răng/ Misumi</t>
  </si>
  <si>
    <t>TT</t>
  </si>
  <si>
    <t>đã giao lô đầu 30 set</t>
  </si>
  <si>
    <t>9/4 nhận 159 bộ, thiếu rulo chủ động giao sau</t>
  </si>
  <si>
    <t xml:space="preserve">HTPA18S5M100-A-N8-FC30.0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</si>
  <si>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Thống kê đặt pully/ Misumi</t>
  </si>
  <si>
    <t xml:space="preserve">đã nhận đủ 13/4, </t>
  </si>
  <si>
    <t>tổng lô 324, đã về đủ 13/4</t>
  </si>
  <si>
    <t>Tổng lô đặt HC 2280, 14/4 về trc 630</t>
  </si>
  <si>
    <t>triển khai lần 2, số lượng x 6</t>
  </si>
  <si>
    <t>đã đặt hàng 10/4, hẹn 25/4 giao 50%, 5/5 giao nốt</t>
  </si>
  <si>
    <t>S6I06GX-12CE và bộ đk tốc độ SUD06IB-V12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</si>
</sst>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0"/>
      <color theme="8" tint="-0.249977111117893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2" xfId="0" applyFont="1" applyFill="1" applyBorder="1" applyAlignment="1">
      <alignment horizontal="left"/>
    </xf>
    <xf numFmtId="0" fontId="4" fillId="4" borderId="0" xfId="0" applyFont="1" applyFill="1"/>
    <xf numFmtId="0" fontId="5" fillId="2" borderId="1" xfId="0" applyFont="1" applyFill="1" applyBorder="1" applyAlignment="1">
      <alignment horizontal="center"/>
    </xf>
    <xf numFmtId="0" fontId="6" fillId="5" borderId="0" xfId="0" applyFont="1" applyFill="1"/>
    <xf numFmtId="0" fontId="7" fillId="6" borderId="1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0" fillId="4" borderId="2" xfId="0" applyFill="1" applyBorder="1"/>
    <xf numFmtId="0" fontId="0" fillId="4" borderId="0" xfId="0" applyFill="1"/>
    <xf numFmtId="0" fontId="0" fillId="4" borderId="2" xfId="0" quotePrefix="1" applyFill="1" applyBorder="1"/>
    <xf numFmtId="0" fontId="0" fillId="7" borderId="2" xfId="0" applyFill="1" applyBorder="1"/>
    <xf numFmtId="0" fontId="4" fillId="8" borderId="0" xfId="0" applyFont="1" applyFill="1"/>
    <xf numFmtId="0" fontId="11" fillId="8" borderId="0" xfId="0" applyFont="1" applyFill="1"/>
    <xf numFmtId="0" fontId="10" fillId="4" borderId="0" xfId="0" applyFont="1" applyFill="1"/>
    <xf numFmtId="0" fontId="10" fillId="4" borderId="2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jpeg"/><Relationship Id="rId13" Type="http://schemas.openxmlformats.org/officeDocument/2006/relationships/image" Target="../media/image53.jpeg"/><Relationship Id="rId18" Type="http://schemas.openxmlformats.org/officeDocument/2006/relationships/image" Target="../media/image58.jpeg"/><Relationship Id="rId26" Type="http://schemas.openxmlformats.org/officeDocument/2006/relationships/image" Target="../media/image66.jpeg"/><Relationship Id="rId3" Type="http://schemas.openxmlformats.org/officeDocument/2006/relationships/image" Target="../media/image43.jpeg"/><Relationship Id="rId21" Type="http://schemas.openxmlformats.org/officeDocument/2006/relationships/image" Target="../media/image61.jpeg"/><Relationship Id="rId34" Type="http://schemas.openxmlformats.org/officeDocument/2006/relationships/image" Target="../media/image74.jpeg"/><Relationship Id="rId7" Type="http://schemas.openxmlformats.org/officeDocument/2006/relationships/image" Target="../media/image47.jpeg"/><Relationship Id="rId12" Type="http://schemas.openxmlformats.org/officeDocument/2006/relationships/image" Target="../media/image52.jpeg"/><Relationship Id="rId17" Type="http://schemas.openxmlformats.org/officeDocument/2006/relationships/image" Target="../media/image57.jpeg"/><Relationship Id="rId25" Type="http://schemas.openxmlformats.org/officeDocument/2006/relationships/image" Target="../media/image65.jpeg"/><Relationship Id="rId33" Type="http://schemas.openxmlformats.org/officeDocument/2006/relationships/image" Target="../media/image73.jpeg"/><Relationship Id="rId2" Type="http://schemas.openxmlformats.org/officeDocument/2006/relationships/image" Target="../media/image42.jpeg"/><Relationship Id="rId16" Type="http://schemas.openxmlformats.org/officeDocument/2006/relationships/image" Target="../media/image56.jpeg"/><Relationship Id="rId20" Type="http://schemas.openxmlformats.org/officeDocument/2006/relationships/image" Target="../media/image60.jpeg"/><Relationship Id="rId29" Type="http://schemas.openxmlformats.org/officeDocument/2006/relationships/image" Target="../media/image69.jpeg"/><Relationship Id="rId1" Type="http://schemas.openxmlformats.org/officeDocument/2006/relationships/image" Target="../media/image41.jpeg"/><Relationship Id="rId6" Type="http://schemas.openxmlformats.org/officeDocument/2006/relationships/image" Target="../media/image46.jpeg"/><Relationship Id="rId11" Type="http://schemas.openxmlformats.org/officeDocument/2006/relationships/image" Target="../media/image51.jpeg"/><Relationship Id="rId24" Type="http://schemas.openxmlformats.org/officeDocument/2006/relationships/image" Target="../media/image64.jpeg"/><Relationship Id="rId32" Type="http://schemas.openxmlformats.org/officeDocument/2006/relationships/image" Target="../media/image72.jpeg"/><Relationship Id="rId5" Type="http://schemas.openxmlformats.org/officeDocument/2006/relationships/image" Target="../media/image45.jpeg"/><Relationship Id="rId15" Type="http://schemas.openxmlformats.org/officeDocument/2006/relationships/image" Target="../media/image55.jpeg"/><Relationship Id="rId23" Type="http://schemas.openxmlformats.org/officeDocument/2006/relationships/image" Target="../media/image63.jpeg"/><Relationship Id="rId28" Type="http://schemas.openxmlformats.org/officeDocument/2006/relationships/image" Target="../media/image68.jpeg"/><Relationship Id="rId36" Type="http://schemas.openxmlformats.org/officeDocument/2006/relationships/image" Target="../media/image76.jpeg"/><Relationship Id="rId10" Type="http://schemas.openxmlformats.org/officeDocument/2006/relationships/image" Target="../media/image50.jpeg"/><Relationship Id="rId19" Type="http://schemas.openxmlformats.org/officeDocument/2006/relationships/image" Target="../media/image59.jpeg"/><Relationship Id="rId31" Type="http://schemas.openxmlformats.org/officeDocument/2006/relationships/image" Target="../media/image71.jpeg"/><Relationship Id="rId4" Type="http://schemas.openxmlformats.org/officeDocument/2006/relationships/image" Target="../media/image44.jpeg"/><Relationship Id="rId9" Type="http://schemas.openxmlformats.org/officeDocument/2006/relationships/image" Target="../media/image49.jpeg"/><Relationship Id="rId14" Type="http://schemas.openxmlformats.org/officeDocument/2006/relationships/image" Target="../media/image54.jpeg"/><Relationship Id="rId22" Type="http://schemas.openxmlformats.org/officeDocument/2006/relationships/image" Target="../media/image62.jpeg"/><Relationship Id="rId27" Type="http://schemas.openxmlformats.org/officeDocument/2006/relationships/image" Target="../media/image67.jpeg"/><Relationship Id="rId30" Type="http://schemas.openxmlformats.org/officeDocument/2006/relationships/image" Target="../media/image70.jpeg"/><Relationship Id="rId35" Type="http://schemas.openxmlformats.org/officeDocument/2006/relationships/image" Target="../media/image75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4.jpeg"/><Relationship Id="rId13" Type="http://schemas.openxmlformats.org/officeDocument/2006/relationships/image" Target="../media/image50.jpeg"/><Relationship Id="rId18" Type="http://schemas.openxmlformats.org/officeDocument/2006/relationships/image" Target="../media/image88.jpeg"/><Relationship Id="rId26" Type="http://schemas.openxmlformats.org/officeDocument/2006/relationships/image" Target="../media/image63.jpeg"/><Relationship Id="rId3" Type="http://schemas.openxmlformats.org/officeDocument/2006/relationships/image" Target="../media/image79.jpeg"/><Relationship Id="rId21" Type="http://schemas.openxmlformats.org/officeDocument/2006/relationships/image" Target="../media/image58.jpeg"/><Relationship Id="rId34" Type="http://schemas.openxmlformats.org/officeDocument/2006/relationships/image" Target="../media/image71.jpeg"/><Relationship Id="rId7" Type="http://schemas.openxmlformats.org/officeDocument/2006/relationships/image" Target="../media/image83.jpeg"/><Relationship Id="rId12" Type="http://schemas.openxmlformats.org/officeDocument/2006/relationships/image" Target="../media/image49.jpeg"/><Relationship Id="rId17" Type="http://schemas.openxmlformats.org/officeDocument/2006/relationships/image" Target="../media/image87.jpeg"/><Relationship Id="rId25" Type="http://schemas.openxmlformats.org/officeDocument/2006/relationships/image" Target="../media/image62.jpeg"/><Relationship Id="rId33" Type="http://schemas.openxmlformats.org/officeDocument/2006/relationships/image" Target="../media/image70.jpeg"/><Relationship Id="rId2" Type="http://schemas.openxmlformats.org/officeDocument/2006/relationships/image" Target="../media/image78.jpeg"/><Relationship Id="rId16" Type="http://schemas.openxmlformats.org/officeDocument/2006/relationships/image" Target="../media/image86.jpeg"/><Relationship Id="rId20" Type="http://schemas.openxmlformats.org/officeDocument/2006/relationships/image" Target="../media/image57.jpeg"/><Relationship Id="rId29" Type="http://schemas.openxmlformats.org/officeDocument/2006/relationships/image" Target="../media/image66.jpeg"/><Relationship Id="rId1" Type="http://schemas.openxmlformats.org/officeDocument/2006/relationships/image" Target="../media/image77.jpeg"/><Relationship Id="rId6" Type="http://schemas.openxmlformats.org/officeDocument/2006/relationships/image" Target="../media/image82.jpeg"/><Relationship Id="rId11" Type="http://schemas.openxmlformats.org/officeDocument/2006/relationships/image" Target="../media/image48.jpeg"/><Relationship Id="rId24" Type="http://schemas.openxmlformats.org/officeDocument/2006/relationships/image" Target="../media/image61.jpeg"/><Relationship Id="rId32" Type="http://schemas.openxmlformats.org/officeDocument/2006/relationships/image" Target="../media/image69.jpeg"/><Relationship Id="rId5" Type="http://schemas.openxmlformats.org/officeDocument/2006/relationships/image" Target="../media/image81.jpeg"/><Relationship Id="rId15" Type="http://schemas.openxmlformats.org/officeDocument/2006/relationships/image" Target="../media/image85.jpeg"/><Relationship Id="rId23" Type="http://schemas.openxmlformats.org/officeDocument/2006/relationships/image" Target="../media/image60.jpeg"/><Relationship Id="rId28" Type="http://schemas.openxmlformats.org/officeDocument/2006/relationships/image" Target="../media/image65.jpeg"/><Relationship Id="rId36" Type="http://schemas.openxmlformats.org/officeDocument/2006/relationships/image" Target="../media/image73.jpeg"/><Relationship Id="rId10" Type="http://schemas.openxmlformats.org/officeDocument/2006/relationships/image" Target="../media/image47.jpeg"/><Relationship Id="rId19" Type="http://schemas.openxmlformats.org/officeDocument/2006/relationships/image" Target="../media/image56.jpeg"/><Relationship Id="rId31" Type="http://schemas.openxmlformats.org/officeDocument/2006/relationships/image" Target="../media/image68.jpeg"/><Relationship Id="rId4" Type="http://schemas.openxmlformats.org/officeDocument/2006/relationships/image" Target="../media/image80.jpeg"/><Relationship Id="rId9" Type="http://schemas.openxmlformats.org/officeDocument/2006/relationships/image" Target="../media/image46.jpeg"/><Relationship Id="rId14" Type="http://schemas.openxmlformats.org/officeDocument/2006/relationships/image" Target="../media/image51.jpeg"/><Relationship Id="rId22" Type="http://schemas.openxmlformats.org/officeDocument/2006/relationships/image" Target="../media/image59.jpeg"/><Relationship Id="rId27" Type="http://schemas.openxmlformats.org/officeDocument/2006/relationships/image" Target="../media/image64.jpeg"/><Relationship Id="rId30" Type="http://schemas.openxmlformats.org/officeDocument/2006/relationships/image" Target="../media/image67.jpeg"/><Relationship Id="rId35" Type="http://schemas.openxmlformats.org/officeDocument/2006/relationships/image" Target="../media/image72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4.jpeg"/><Relationship Id="rId13" Type="http://schemas.openxmlformats.org/officeDocument/2006/relationships/image" Target="../media/image97.jpeg"/><Relationship Id="rId18" Type="http://schemas.openxmlformats.org/officeDocument/2006/relationships/image" Target="../media/image48.jpeg"/><Relationship Id="rId26" Type="http://schemas.openxmlformats.org/officeDocument/2006/relationships/image" Target="../media/image61.jpeg"/><Relationship Id="rId39" Type="http://schemas.openxmlformats.org/officeDocument/2006/relationships/image" Target="../media/image67.jpeg"/><Relationship Id="rId3" Type="http://schemas.openxmlformats.org/officeDocument/2006/relationships/image" Target="../media/image90.jpeg"/><Relationship Id="rId21" Type="http://schemas.openxmlformats.org/officeDocument/2006/relationships/image" Target="../media/image88.jpeg"/><Relationship Id="rId34" Type="http://schemas.openxmlformats.org/officeDocument/2006/relationships/image" Target="../media/image71.jpeg"/><Relationship Id="rId7" Type="http://schemas.openxmlformats.org/officeDocument/2006/relationships/image" Target="../media/image93.jpeg"/><Relationship Id="rId12" Type="http://schemas.openxmlformats.org/officeDocument/2006/relationships/image" Target="../media/image50.jpeg"/><Relationship Id="rId17" Type="http://schemas.openxmlformats.org/officeDocument/2006/relationships/image" Target="../media/image47.jpeg"/><Relationship Id="rId25" Type="http://schemas.openxmlformats.org/officeDocument/2006/relationships/image" Target="../media/image60.jpeg"/><Relationship Id="rId33" Type="http://schemas.openxmlformats.org/officeDocument/2006/relationships/image" Target="../media/image70.jpeg"/><Relationship Id="rId38" Type="http://schemas.openxmlformats.org/officeDocument/2006/relationships/image" Target="../media/image66.jpeg"/><Relationship Id="rId2" Type="http://schemas.openxmlformats.org/officeDocument/2006/relationships/image" Target="../media/image89.jpeg"/><Relationship Id="rId16" Type="http://schemas.openxmlformats.org/officeDocument/2006/relationships/image" Target="../media/image46.jpeg"/><Relationship Id="rId20" Type="http://schemas.openxmlformats.org/officeDocument/2006/relationships/image" Target="../media/image87.jpeg"/><Relationship Id="rId29" Type="http://schemas.openxmlformats.org/officeDocument/2006/relationships/image" Target="../media/image100.jpeg"/><Relationship Id="rId1" Type="http://schemas.openxmlformats.org/officeDocument/2006/relationships/image" Target="../media/image81.jpeg"/><Relationship Id="rId6" Type="http://schemas.openxmlformats.org/officeDocument/2006/relationships/image" Target="../media/image92.jpeg"/><Relationship Id="rId11" Type="http://schemas.openxmlformats.org/officeDocument/2006/relationships/image" Target="../media/image51.jpeg"/><Relationship Id="rId24" Type="http://schemas.openxmlformats.org/officeDocument/2006/relationships/image" Target="../media/image58.jpeg"/><Relationship Id="rId32" Type="http://schemas.openxmlformats.org/officeDocument/2006/relationships/image" Target="../media/image69.jpeg"/><Relationship Id="rId37" Type="http://schemas.openxmlformats.org/officeDocument/2006/relationships/image" Target="../media/image101.jpeg"/><Relationship Id="rId5" Type="http://schemas.openxmlformats.org/officeDocument/2006/relationships/image" Target="../media/image49.jpeg"/><Relationship Id="rId15" Type="http://schemas.openxmlformats.org/officeDocument/2006/relationships/image" Target="../media/image99.jpeg"/><Relationship Id="rId23" Type="http://schemas.openxmlformats.org/officeDocument/2006/relationships/image" Target="../media/image57.jpeg"/><Relationship Id="rId28" Type="http://schemas.openxmlformats.org/officeDocument/2006/relationships/image" Target="../media/image59.jpeg"/><Relationship Id="rId36" Type="http://schemas.openxmlformats.org/officeDocument/2006/relationships/image" Target="../media/image73.jpeg"/><Relationship Id="rId10" Type="http://schemas.openxmlformats.org/officeDocument/2006/relationships/image" Target="../media/image96.jpeg"/><Relationship Id="rId19" Type="http://schemas.openxmlformats.org/officeDocument/2006/relationships/image" Target="../media/image86.jpeg"/><Relationship Id="rId31" Type="http://schemas.openxmlformats.org/officeDocument/2006/relationships/image" Target="../media/image68.jpeg"/><Relationship Id="rId4" Type="http://schemas.openxmlformats.org/officeDocument/2006/relationships/image" Target="../media/image91.jpeg"/><Relationship Id="rId9" Type="http://schemas.openxmlformats.org/officeDocument/2006/relationships/image" Target="../media/image95.jpeg"/><Relationship Id="rId14" Type="http://schemas.openxmlformats.org/officeDocument/2006/relationships/image" Target="../media/image98.jpeg"/><Relationship Id="rId22" Type="http://schemas.openxmlformats.org/officeDocument/2006/relationships/image" Target="../media/image56.jpeg"/><Relationship Id="rId27" Type="http://schemas.openxmlformats.org/officeDocument/2006/relationships/image" Target="../media/image62.jpeg"/><Relationship Id="rId30" Type="http://schemas.openxmlformats.org/officeDocument/2006/relationships/image" Target="../media/image64.jpeg"/><Relationship Id="rId35" Type="http://schemas.openxmlformats.org/officeDocument/2006/relationships/image" Target="../media/image72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8.jpeg"/><Relationship Id="rId13" Type="http://schemas.openxmlformats.org/officeDocument/2006/relationships/image" Target="../media/image111.jpeg"/><Relationship Id="rId18" Type="http://schemas.openxmlformats.org/officeDocument/2006/relationships/image" Target="../media/image116.jpeg"/><Relationship Id="rId26" Type="http://schemas.openxmlformats.org/officeDocument/2006/relationships/image" Target="../media/image121.jpeg"/><Relationship Id="rId3" Type="http://schemas.openxmlformats.org/officeDocument/2006/relationships/image" Target="../media/image104.jpeg"/><Relationship Id="rId21" Type="http://schemas.openxmlformats.org/officeDocument/2006/relationships/image" Target="../media/image117.jpeg"/><Relationship Id="rId7" Type="http://schemas.openxmlformats.org/officeDocument/2006/relationships/image" Target="../media/image61.jpeg"/><Relationship Id="rId12" Type="http://schemas.openxmlformats.org/officeDocument/2006/relationships/image" Target="../media/image110.jpeg"/><Relationship Id="rId17" Type="http://schemas.openxmlformats.org/officeDocument/2006/relationships/image" Target="../media/image115.jpeg"/><Relationship Id="rId25" Type="http://schemas.openxmlformats.org/officeDocument/2006/relationships/image" Target="../media/image69.jpeg"/><Relationship Id="rId2" Type="http://schemas.openxmlformats.org/officeDocument/2006/relationships/image" Target="../media/image103.jpeg"/><Relationship Id="rId16" Type="http://schemas.openxmlformats.org/officeDocument/2006/relationships/image" Target="../media/image114.jpeg"/><Relationship Id="rId20" Type="http://schemas.openxmlformats.org/officeDocument/2006/relationships/image" Target="../media/image70.jpeg"/><Relationship Id="rId29" Type="http://schemas.openxmlformats.org/officeDocument/2006/relationships/image" Target="../media/image56.jpeg"/><Relationship Id="rId1" Type="http://schemas.openxmlformats.org/officeDocument/2006/relationships/image" Target="../media/image102.jpeg"/><Relationship Id="rId6" Type="http://schemas.openxmlformats.org/officeDocument/2006/relationships/image" Target="../media/image107.jpeg"/><Relationship Id="rId11" Type="http://schemas.openxmlformats.org/officeDocument/2006/relationships/image" Target="../media/image109.jpeg"/><Relationship Id="rId24" Type="http://schemas.openxmlformats.org/officeDocument/2006/relationships/image" Target="../media/image120.jpeg"/><Relationship Id="rId5" Type="http://schemas.openxmlformats.org/officeDocument/2006/relationships/image" Target="../media/image106.jpeg"/><Relationship Id="rId15" Type="http://schemas.openxmlformats.org/officeDocument/2006/relationships/image" Target="../media/image113.jpeg"/><Relationship Id="rId23" Type="http://schemas.openxmlformats.org/officeDocument/2006/relationships/image" Target="../media/image119.jpeg"/><Relationship Id="rId28" Type="http://schemas.openxmlformats.org/officeDocument/2006/relationships/image" Target="../media/image123.jpeg"/><Relationship Id="rId10" Type="http://schemas.openxmlformats.org/officeDocument/2006/relationships/image" Target="../media/image60.jpeg"/><Relationship Id="rId19" Type="http://schemas.openxmlformats.org/officeDocument/2006/relationships/image" Target="../media/image71.jpeg"/><Relationship Id="rId4" Type="http://schemas.openxmlformats.org/officeDocument/2006/relationships/image" Target="../media/image105.jpeg"/><Relationship Id="rId9" Type="http://schemas.openxmlformats.org/officeDocument/2006/relationships/image" Target="../media/image59.jpeg"/><Relationship Id="rId14" Type="http://schemas.openxmlformats.org/officeDocument/2006/relationships/image" Target="../media/image112.jpeg"/><Relationship Id="rId22" Type="http://schemas.openxmlformats.org/officeDocument/2006/relationships/image" Target="../media/image118.jpeg"/><Relationship Id="rId27" Type="http://schemas.openxmlformats.org/officeDocument/2006/relationships/image" Target="../media/image122.jpeg"/><Relationship Id="rId30" Type="http://schemas.openxmlformats.org/officeDocument/2006/relationships/image" Target="../media/image57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9.jpeg"/><Relationship Id="rId13" Type="http://schemas.openxmlformats.org/officeDocument/2006/relationships/image" Target="../media/image134.jpeg"/><Relationship Id="rId18" Type="http://schemas.openxmlformats.org/officeDocument/2006/relationships/image" Target="../media/image138.jpeg"/><Relationship Id="rId26" Type="http://schemas.openxmlformats.org/officeDocument/2006/relationships/image" Target="../media/image146.jpeg"/><Relationship Id="rId3" Type="http://schemas.openxmlformats.org/officeDocument/2006/relationships/image" Target="../media/image71.jpeg"/><Relationship Id="rId21" Type="http://schemas.openxmlformats.org/officeDocument/2006/relationships/image" Target="../media/image141.jpeg"/><Relationship Id="rId34" Type="http://schemas.openxmlformats.org/officeDocument/2006/relationships/image" Target="../media/image154.jpeg"/><Relationship Id="rId7" Type="http://schemas.openxmlformats.org/officeDocument/2006/relationships/image" Target="../media/image128.jpeg"/><Relationship Id="rId12" Type="http://schemas.openxmlformats.org/officeDocument/2006/relationships/image" Target="../media/image133.jpeg"/><Relationship Id="rId17" Type="http://schemas.openxmlformats.org/officeDocument/2006/relationships/image" Target="../media/image137.jpeg"/><Relationship Id="rId25" Type="http://schemas.openxmlformats.org/officeDocument/2006/relationships/image" Target="../media/image145.jpeg"/><Relationship Id="rId33" Type="http://schemas.openxmlformats.org/officeDocument/2006/relationships/image" Target="../media/image153.jpeg"/><Relationship Id="rId2" Type="http://schemas.openxmlformats.org/officeDocument/2006/relationships/image" Target="../media/image125.jpeg"/><Relationship Id="rId16" Type="http://schemas.openxmlformats.org/officeDocument/2006/relationships/image" Target="../media/image136.jpeg"/><Relationship Id="rId20" Type="http://schemas.openxmlformats.org/officeDocument/2006/relationships/image" Target="../media/image140.jpeg"/><Relationship Id="rId29" Type="http://schemas.openxmlformats.org/officeDocument/2006/relationships/image" Target="../media/image149.jpeg"/><Relationship Id="rId1" Type="http://schemas.openxmlformats.org/officeDocument/2006/relationships/image" Target="../media/image124.jpeg"/><Relationship Id="rId6" Type="http://schemas.openxmlformats.org/officeDocument/2006/relationships/image" Target="../media/image127.jpeg"/><Relationship Id="rId11" Type="http://schemas.openxmlformats.org/officeDocument/2006/relationships/image" Target="../media/image132.jpeg"/><Relationship Id="rId24" Type="http://schemas.openxmlformats.org/officeDocument/2006/relationships/image" Target="../media/image144.jpeg"/><Relationship Id="rId32" Type="http://schemas.openxmlformats.org/officeDocument/2006/relationships/image" Target="../media/image152.jpeg"/><Relationship Id="rId5" Type="http://schemas.openxmlformats.org/officeDocument/2006/relationships/image" Target="../media/image126.jpeg"/><Relationship Id="rId15" Type="http://schemas.openxmlformats.org/officeDocument/2006/relationships/image" Target="../media/image135.jpeg"/><Relationship Id="rId23" Type="http://schemas.openxmlformats.org/officeDocument/2006/relationships/image" Target="../media/image143.jpeg"/><Relationship Id="rId28" Type="http://schemas.openxmlformats.org/officeDocument/2006/relationships/image" Target="../media/image148.jpeg"/><Relationship Id="rId10" Type="http://schemas.openxmlformats.org/officeDocument/2006/relationships/image" Target="../media/image131.jpeg"/><Relationship Id="rId19" Type="http://schemas.openxmlformats.org/officeDocument/2006/relationships/image" Target="../media/image139.jpeg"/><Relationship Id="rId31" Type="http://schemas.openxmlformats.org/officeDocument/2006/relationships/image" Target="../media/image151.jpeg"/><Relationship Id="rId4" Type="http://schemas.openxmlformats.org/officeDocument/2006/relationships/image" Target="../media/image61.jpeg"/><Relationship Id="rId9" Type="http://schemas.openxmlformats.org/officeDocument/2006/relationships/image" Target="../media/image130.jpeg"/><Relationship Id="rId14" Type="http://schemas.openxmlformats.org/officeDocument/2006/relationships/image" Target="../media/image65.jpeg"/><Relationship Id="rId22" Type="http://schemas.openxmlformats.org/officeDocument/2006/relationships/image" Target="../media/image142.jpeg"/><Relationship Id="rId27" Type="http://schemas.openxmlformats.org/officeDocument/2006/relationships/image" Target="../media/image147.jpeg"/><Relationship Id="rId30" Type="http://schemas.openxmlformats.org/officeDocument/2006/relationships/image" Target="../media/image150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5.jpeg"/><Relationship Id="rId13" Type="http://schemas.openxmlformats.org/officeDocument/2006/relationships/image" Target="../media/image156.jpeg"/><Relationship Id="rId18" Type="http://schemas.openxmlformats.org/officeDocument/2006/relationships/image" Target="../media/image158.jpeg"/><Relationship Id="rId26" Type="http://schemas.openxmlformats.org/officeDocument/2006/relationships/image" Target="../media/image149.jpeg"/><Relationship Id="rId3" Type="http://schemas.openxmlformats.org/officeDocument/2006/relationships/image" Target="../media/image71.jpeg"/><Relationship Id="rId21" Type="http://schemas.openxmlformats.org/officeDocument/2006/relationships/image" Target="../media/image161.jpeg"/><Relationship Id="rId7" Type="http://schemas.openxmlformats.org/officeDocument/2006/relationships/image" Target="../media/image128.jpeg"/><Relationship Id="rId12" Type="http://schemas.openxmlformats.org/officeDocument/2006/relationships/image" Target="../media/image133.jpeg"/><Relationship Id="rId17" Type="http://schemas.openxmlformats.org/officeDocument/2006/relationships/image" Target="../media/image135.jpeg"/><Relationship Id="rId25" Type="http://schemas.openxmlformats.org/officeDocument/2006/relationships/image" Target="../media/image147.jpeg"/><Relationship Id="rId2" Type="http://schemas.openxmlformats.org/officeDocument/2006/relationships/image" Target="../media/image125.jpeg"/><Relationship Id="rId16" Type="http://schemas.openxmlformats.org/officeDocument/2006/relationships/image" Target="../media/image65.jpeg"/><Relationship Id="rId20" Type="http://schemas.openxmlformats.org/officeDocument/2006/relationships/image" Target="../media/image160.jpeg"/><Relationship Id="rId29" Type="http://schemas.openxmlformats.org/officeDocument/2006/relationships/image" Target="../media/image152.jpeg"/><Relationship Id="rId1" Type="http://schemas.openxmlformats.org/officeDocument/2006/relationships/image" Target="../media/image124.jpeg"/><Relationship Id="rId6" Type="http://schemas.openxmlformats.org/officeDocument/2006/relationships/image" Target="../media/image127.jpeg"/><Relationship Id="rId11" Type="http://schemas.openxmlformats.org/officeDocument/2006/relationships/image" Target="../media/image132.jpeg"/><Relationship Id="rId24" Type="http://schemas.openxmlformats.org/officeDocument/2006/relationships/image" Target="../media/image146.jpeg"/><Relationship Id="rId5" Type="http://schemas.openxmlformats.org/officeDocument/2006/relationships/image" Target="../media/image126.jpeg"/><Relationship Id="rId15" Type="http://schemas.openxmlformats.org/officeDocument/2006/relationships/image" Target="../media/image157.jpeg"/><Relationship Id="rId23" Type="http://schemas.openxmlformats.org/officeDocument/2006/relationships/image" Target="../media/image145.jpeg"/><Relationship Id="rId28" Type="http://schemas.openxmlformats.org/officeDocument/2006/relationships/image" Target="../media/image151.jpeg"/><Relationship Id="rId10" Type="http://schemas.openxmlformats.org/officeDocument/2006/relationships/image" Target="../media/image131.jpeg"/><Relationship Id="rId19" Type="http://schemas.openxmlformats.org/officeDocument/2006/relationships/image" Target="../media/image159.jpeg"/><Relationship Id="rId31" Type="http://schemas.openxmlformats.org/officeDocument/2006/relationships/image" Target="../media/image154.jpeg"/><Relationship Id="rId4" Type="http://schemas.openxmlformats.org/officeDocument/2006/relationships/image" Target="../media/image61.jpeg"/><Relationship Id="rId9" Type="http://schemas.openxmlformats.org/officeDocument/2006/relationships/image" Target="../media/image130.jpeg"/><Relationship Id="rId14" Type="http://schemas.openxmlformats.org/officeDocument/2006/relationships/image" Target="../media/image134.jpeg"/><Relationship Id="rId22" Type="http://schemas.openxmlformats.org/officeDocument/2006/relationships/image" Target="../media/image162.jpeg"/><Relationship Id="rId27" Type="http://schemas.openxmlformats.org/officeDocument/2006/relationships/image" Target="../media/image150.jpeg"/><Relationship Id="rId30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0B305F-274B-4041-878F-1712C5D5E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3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DD2641-E027-4C2B-8F51-FDE190B53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4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7322E1-2F16-4AC1-A321-5280F943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54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</xdr:row>
      <xdr:rowOff>47625</xdr:rowOff>
    </xdr:from>
    <xdr:to>
      <xdr:col>0</xdr:col>
      <xdr:colOff>866775</xdr:colOff>
      <xdr:row>5</xdr:row>
      <xdr:rowOff>465455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B8CE2B-5860-4C93-AD4E-FB20E2B85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65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200024</xdr:colOff>
      <xdr:row>6</xdr:row>
      <xdr:rowOff>47624</xdr:rowOff>
    </xdr:from>
    <xdr:to>
      <xdr:col>0</xdr:col>
      <xdr:colOff>978257</xdr:colOff>
      <xdr:row>6</xdr:row>
      <xdr:rowOff>739140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7580579-659A-4E6A-81A6-CDBA38A95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4" y="588644"/>
          <a:ext cx="778233" cy="691516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</xdr:row>
      <xdr:rowOff>47625</xdr:rowOff>
    </xdr:from>
    <xdr:to>
      <xdr:col>0</xdr:col>
      <xdr:colOff>866775</xdr:colOff>
      <xdr:row>7</xdr:row>
      <xdr:rowOff>465455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78C09F-39F8-41B3-85AA-23F239B00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086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47625</xdr:rowOff>
    </xdr:from>
    <xdr:to>
      <xdr:col>0</xdr:col>
      <xdr:colOff>866775</xdr:colOff>
      <xdr:row>8</xdr:row>
      <xdr:rowOff>465455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50F67D-ED22-4DDD-A331-1DD31144C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596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</xdr:row>
      <xdr:rowOff>47625</xdr:rowOff>
    </xdr:from>
    <xdr:to>
      <xdr:col>0</xdr:col>
      <xdr:colOff>866775</xdr:colOff>
      <xdr:row>9</xdr:row>
      <xdr:rowOff>465455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77CCB41-7A4F-4C3F-9A20-A60B0AD5D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07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10</xdr:row>
      <xdr:rowOff>47625</xdr:rowOff>
    </xdr:from>
    <xdr:to>
      <xdr:col>0</xdr:col>
      <xdr:colOff>866775</xdr:colOff>
      <xdr:row>10</xdr:row>
      <xdr:rowOff>465455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FE1793D-EE9C-4840-A7B4-1F4910488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617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47625</xdr:rowOff>
    </xdr:from>
    <xdr:to>
      <xdr:col>0</xdr:col>
      <xdr:colOff>866775</xdr:colOff>
      <xdr:row>11</xdr:row>
      <xdr:rowOff>465455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B63DFE4-F9D1-4AD3-A983-6B45689DE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128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12</xdr:row>
      <xdr:rowOff>47625</xdr:rowOff>
    </xdr:from>
    <xdr:to>
      <xdr:col>0</xdr:col>
      <xdr:colOff>866775</xdr:colOff>
      <xdr:row>12</xdr:row>
      <xdr:rowOff>465455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06D09B8-BC9B-43FD-AE65-CB4BB56D1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38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13</xdr:row>
      <xdr:rowOff>47625</xdr:rowOff>
    </xdr:from>
    <xdr:to>
      <xdr:col>0</xdr:col>
      <xdr:colOff>866775</xdr:colOff>
      <xdr:row>13</xdr:row>
      <xdr:rowOff>465455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58A7878-24B5-4788-8033-BC97D97D7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149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</xdr:row>
      <xdr:rowOff>47625</xdr:rowOff>
    </xdr:from>
    <xdr:to>
      <xdr:col>0</xdr:col>
      <xdr:colOff>866775</xdr:colOff>
      <xdr:row>14</xdr:row>
      <xdr:rowOff>465455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4083B82-171A-4D22-8502-F9A572D2D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6600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15</xdr:row>
      <xdr:rowOff>47625</xdr:rowOff>
    </xdr:from>
    <xdr:to>
      <xdr:col>0</xdr:col>
      <xdr:colOff>866775</xdr:colOff>
      <xdr:row>15</xdr:row>
      <xdr:rowOff>465455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90A3C6F-FAD4-4A57-A537-E5D8F9CFD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1705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16</xdr:row>
      <xdr:rowOff>47625</xdr:rowOff>
    </xdr:from>
    <xdr:to>
      <xdr:col>0</xdr:col>
      <xdr:colOff>866775</xdr:colOff>
      <xdr:row>16</xdr:row>
      <xdr:rowOff>465455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5FFFFD8-78AD-47A9-91F5-1F5C35DB1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6810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</xdr:row>
      <xdr:rowOff>47625</xdr:rowOff>
    </xdr:from>
    <xdr:to>
      <xdr:col>0</xdr:col>
      <xdr:colOff>866775</xdr:colOff>
      <xdr:row>17</xdr:row>
      <xdr:rowOff>465455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E9BE689-A796-4629-9202-4E9EDF24D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1916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47625</xdr:rowOff>
    </xdr:from>
    <xdr:to>
      <xdr:col>0</xdr:col>
      <xdr:colOff>866775</xdr:colOff>
      <xdr:row>18</xdr:row>
      <xdr:rowOff>465455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5735040-74F5-464E-A6CA-8A7EEBCE8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021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19</xdr:row>
      <xdr:rowOff>47625</xdr:rowOff>
    </xdr:from>
    <xdr:to>
      <xdr:col>0</xdr:col>
      <xdr:colOff>866775</xdr:colOff>
      <xdr:row>19</xdr:row>
      <xdr:rowOff>465455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0E31E96-4406-4009-8C62-6E440AB9E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2127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20</xdr:row>
      <xdr:rowOff>47625</xdr:rowOff>
    </xdr:from>
    <xdr:to>
      <xdr:col>0</xdr:col>
      <xdr:colOff>866775</xdr:colOff>
      <xdr:row>20</xdr:row>
      <xdr:rowOff>465455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E64DD03-E715-4AEF-A62D-275F02AB3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7232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21</xdr:row>
      <xdr:rowOff>47625</xdr:rowOff>
    </xdr:from>
    <xdr:to>
      <xdr:col>0</xdr:col>
      <xdr:colOff>866775</xdr:colOff>
      <xdr:row>21</xdr:row>
      <xdr:rowOff>465455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7BAC68F-F49D-4055-B741-511875CE0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2337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</xdr:row>
      <xdr:rowOff>47625</xdr:rowOff>
    </xdr:from>
    <xdr:to>
      <xdr:col>0</xdr:col>
      <xdr:colOff>866775</xdr:colOff>
      <xdr:row>22</xdr:row>
      <xdr:rowOff>465455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063EFA7-0C3B-4785-95DE-75F550CD3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7443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23</xdr:row>
      <xdr:rowOff>47625</xdr:rowOff>
    </xdr:from>
    <xdr:to>
      <xdr:col>0</xdr:col>
      <xdr:colOff>866775</xdr:colOff>
      <xdr:row>23</xdr:row>
      <xdr:rowOff>465455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CF17E30-FD3F-4219-A5AE-78FF2EEEE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2548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24</xdr:row>
      <xdr:rowOff>47625</xdr:rowOff>
    </xdr:from>
    <xdr:to>
      <xdr:col>0</xdr:col>
      <xdr:colOff>866775</xdr:colOff>
      <xdr:row>24</xdr:row>
      <xdr:rowOff>465455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FF88106-7E31-4ED6-8A75-2D3DF4D39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765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25</xdr:row>
      <xdr:rowOff>47625</xdr:rowOff>
    </xdr:from>
    <xdr:to>
      <xdr:col>0</xdr:col>
      <xdr:colOff>866775</xdr:colOff>
      <xdr:row>25</xdr:row>
      <xdr:rowOff>465455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4704AC7-657A-4347-8054-EC6EBA177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275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47625</xdr:rowOff>
    </xdr:from>
    <xdr:to>
      <xdr:col>0</xdr:col>
      <xdr:colOff>866775</xdr:colOff>
      <xdr:row>26</xdr:row>
      <xdr:rowOff>465455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D4F03F9-2985-4906-A8AA-1AA0CEA5B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786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27</xdr:row>
      <xdr:rowOff>47625</xdr:rowOff>
    </xdr:from>
    <xdr:to>
      <xdr:col>0</xdr:col>
      <xdr:colOff>866775</xdr:colOff>
      <xdr:row>27</xdr:row>
      <xdr:rowOff>465455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EC5C056-9C8C-4145-A403-6D76606A4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297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28</xdr:row>
      <xdr:rowOff>47625</xdr:rowOff>
    </xdr:from>
    <xdr:to>
      <xdr:col>0</xdr:col>
      <xdr:colOff>866775</xdr:colOff>
      <xdr:row>28</xdr:row>
      <xdr:rowOff>465455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A8AE277-97BD-40EA-8EED-71049C2A6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807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47625</xdr:rowOff>
    </xdr:from>
    <xdr:to>
      <xdr:col>0</xdr:col>
      <xdr:colOff>866775</xdr:colOff>
      <xdr:row>29</xdr:row>
      <xdr:rowOff>465455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DEAB4CA-4205-444A-AB35-3D034AC74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18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30</xdr:row>
      <xdr:rowOff>47625</xdr:rowOff>
    </xdr:from>
    <xdr:to>
      <xdr:col>0</xdr:col>
      <xdr:colOff>866775</xdr:colOff>
      <xdr:row>30</xdr:row>
      <xdr:rowOff>465455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148998B-8E4B-4905-822B-B53A049C9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828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31</xdr:row>
      <xdr:rowOff>47625</xdr:rowOff>
    </xdr:from>
    <xdr:to>
      <xdr:col>0</xdr:col>
      <xdr:colOff>866775</xdr:colOff>
      <xdr:row>31</xdr:row>
      <xdr:rowOff>465455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FCBDCE6-1280-4DE3-9087-364A8509E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339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32</xdr:row>
      <xdr:rowOff>47625</xdr:rowOff>
    </xdr:from>
    <xdr:to>
      <xdr:col>0</xdr:col>
      <xdr:colOff>866775</xdr:colOff>
      <xdr:row>32</xdr:row>
      <xdr:rowOff>465455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9C926AB-D75C-419A-ADE5-7F1113AA6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849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33</xdr:row>
      <xdr:rowOff>47625</xdr:rowOff>
    </xdr:from>
    <xdr:to>
      <xdr:col>0</xdr:col>
      <xdr:colOff>866775</xdr:colOff>
      <xdr:row>33</xdr:row>
      <xdr:rowOff>465455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03618B5-642C-4F29-B316-051E427B9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360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34</xdr:row>
      <xdr:rowOff>47625</xdr:rowOff>
    </xdr:from>
    <xdr:to>
      <xdr:col>0</xdr:col>
      <xdr:colOff>866775</xdr:colOff>
      <xdr:row>34</xdr:row>
      <xdr:rowOff>465455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6BBC073-5790-483E-B3A8-8343CD477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870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35</xdr:row>
      <xdr:rowOff>47625</xdr:rowOff>
    </xdr:from>
    <xdr:to>
      <xdr:col>0</xdr:col>
      <xdr:colOff>866775</xdr:colOff>
      <xdr:row>35</xdr:row>
      <xdr:rowOff>465455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447FEFC-61E0-41F2-85FC-F717E609C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381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36</xdr:row>
      <xdr:rowOff>47625</xdr:rowOff>
    </xdr:from>
    <xdr:to>
      <xdr:col>0</xdr:col>
      <xdr:colOff>866775</xdr:colOff>
      <xdr:row>36</xdr:row>
      <xdr:rowOff>465455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EC46424-BC9E-41F7-B29E-BDF8A86E5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891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37</xdr:row>
      <xdr:rowOff>47625</xdr:rowOff>
    </xdr:from>
    <xdr:to>
      <xdr:col>0</xdr:col>
      <xdr:colOff>866775</xdr:colOff>
      <xdr:row>37</xdr:row>
      <xdr:rowOff>465455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1B00747-1ED6-4B81-A577-A61C40F68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4024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38</xdr:row>
      <xdr:rowOff>47625</xdr:rowOff>
    </xdr:from>
    <xdr:to>
      <xdr:col>0</xdr:col>
      <xdr:colOff>866775</xdr:colOff>
      <xdr:row>38</xdr:row>
      <xdr:rowOff>465455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36B0C5C3-0263-45FB-AC91-48940A7EC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9129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39</xdr:row>
      <xdr:rowOff>47625</xdr:rowOff>
    </xdr:from>
    <xdr:to>
      <xdr:col>0</xdr:col>
      <xdr:colOff>866775</xdr:colOff>
      <xdr:row>39</xdr:row>
      <xdr:rowOff>465455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A2AB5BF-4491-4EFD-8BD1-153A1C722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235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40</xdr:row>
      <xdr:rowOff>47625</xdr:rowOff>
    </xdr:from>
    <xdr:to>
      <xdr:col>0</xdr:col>
      <xdr:colOff>866775</xdr:colOff>
      <xdr:row>40</xdr:row>
      <xdr:rowOff>465455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9A3D862-0D03-4B42-9EAC-9431332FC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9340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41</xdr:row>
      <xdr:rowOff>47625</xdr:rowOff>
    </xdr:from>
    <xdr:to>
      <xdr:col>0</xdr:col>
      <xdr:colOff>866775</xdr:colOff>
      <xdr:row>41</xdr:row>
      <xdr:rowOff>465455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1601FF4-4A53-4D47-AE62-C380630E8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1444585"/>
          <a:ext cx="666750" cy="417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9C1E2-DAD8-4F93-977D-78B3D4507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3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5FE175-AB71-4E35-9C57-CB831F3CF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4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36B51F-C5EC-41B9-AA38-2BA035159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54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</xdr:row>
      <xdr:rowOff>47625</xdr:rowOff>
    </xdr:from>
    <xdr:to>
      <xdr:col>0</xdr:col>
      <xdr:colOff>866775</xdr:colOff>
      <xdr:row>5</xdr:row>
      <xdr:rowOff>465455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C593A6-45F8-4944-B990-CE57343EA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65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</xdr:row>
      <xdr:rowOff>47625</xdr:rowOff>
    </xdr:from>
    <xdr:to>
      <xdr:col>0</xdr:col>
      <xdr:colOff>866775</xdr:colOff>
      <xdr:row>6</xdr:row>
      <xdr:rowOff>465455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7E3814-0C85-40E9-86F7-6E9D23BB4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575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</xdr:row>
      <xdr:rowOff>47625</xdr:rowOff>
    </xdr:from>
    <xdr:to>
      <xdr:col>0</xdr:col>
      <xdr:colOff>866775</xdr:colOff>
      <xdr:row>7</xdr:row>
      <xdr:rowOff>465455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5E6DF6-C73E-4BD9-8B0C-879E9DEEF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086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47625</xdr:rowOff>
    </xdr:from>
    <xdr:to>
      <xdr:col>0</xdr:col>
      <xdr:colOff>866775</xdr:colOff>
      <xdr:row>8</xdr:row>
      <xdr:rowOff>465455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D278CBE-14EE-43E8-806F-0E351EBAA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596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</xdr:row>
      <xdr:rowOff>47625</xdr:rowOff>
    </xdr:from>
    <xdr:to>
      <xdr:col>0</xdr:col>
      <xdr:colOff>866775</xdr:colOff>
      <xdr:row>9</xdr:row>
      <xdr:rowOff>465455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5138C88-4AE4-46FD-82EF-51E55671C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07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10</xdr:row>
      <xdr:rowOff>47625</xdr:rowOff>
    </xdr:from>
    <xdr:to>
      <xdr:col>0</xdr:col>
      <xdr:colOff>866775</xdr:colOff>
      <xdr:row>10</xdr:row>
      <xdr:rowOff>465455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4ECBFCC-E0BA-47F2-A4F5-1DE56F5D1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617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47625</xdr:rowOff>
    </xdr:from>
    <xdr:to>
      <xdr:col>0</xdr:col>
      <xdr:colOff>866775</xdr:colOff>
      <xdr:row>11</xdr:row>
      <xdr:rowOff>465455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F5F1D8E-8943-4673-8D38-4B0AE4794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128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12</xdr:row>
      <xdr:rowOff>47625</xdr:rowOff>
    </xdr:from>
    <xdr:to>
      <xdr:col>0</xdr:col>
      <xdr:colOff>866775</xdr:colOff>
      <xdr:row>12</xdr:row>
      <xdr:rowOff>465455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D4EE731-65E2-4CFE-BFD5-503C50D71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38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13</xdr:row>
      <xdr:rowOff>47625</xdr:rowOff>
    </xdr:from>
    <xdr:to>
      <xdr:col>0</xdr:col>
      <xdr:colOff>866775</xdr:colOff>
      <xdr:row>13</xdr:row>
      <xdr:rowOff>465455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CE63D4A-0582-42C0-A274-EF36D1D7A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149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</xdr:row>
      <xdr:rowOff>47625</xdr:rowOff>
    </xdr:from>
    <xdr:to>
      <xdr:col>0</xdr:col>
      <xdr:colOff>866775</xdr:colOff>
      <xdr:row>14</xdr:row>
      <xdr:rowOff>465455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5C537ED-6784-475D-9C49-D5D672957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9330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15</xdr:row>
      <xdr:rowOff>47625</xdr:rowOff>
    </xdr:from>
    <xdr:to>
      <xdr:col>0</xdr:col>
      <xdr:colOff>866775</xdr:colOff>
      <xdr:row>15</xdr:row>
      <xdr:rowOff>465455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E794BB-F9CB-4165-B846-DEDBE54D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1705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16</xdr:row>
      <xdr:rowOff>47625</xdr:rowOff>
    </xdr:from>
    <xdr:to>
      <xdr:col>0</xdr:col>
      <xdr:colOff>866775</xdr:colOff>
      <xdr:row>16</xdr:row>
      <xdr:rowOff>465455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ADADB32-F939-42F9-B54E-43B93C5B1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6810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</xdr:row>
      <xdr:rowOff>47625</xdr:rowOff>
    </xdr:from>
    <xdr:to>
      <xdr:col>0</xdr:col>
      <xdr:colOff>866775</xdr:colOff>
      <xdr:row>17</xdr:row>
      <xdr:rowOff>465455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E89767C-C11D-423E-A97C-DDB176924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1916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47625</xdr:rowOff>
    </xdr:from>
    <xdr:to>
      <xdr:col>0</xdr:col>
      <xdr:colOff>866775</xdr:colOff>
      <xdr:row>18</xdr:row>
      <xdr:rowOff>465455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8C957E0-B8D8-4758-82C8-C29D8C16F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021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19</xdr:row>
      <xdr:rowOff>47625</xdr:rowOff>
    </xdr:from>
    <xdr:to>
      <xdr:col>0</xdr:col>
      <xdr:colOff>866775</xdr:colOff>
      <xdr:row>19</xdr:row>
      <xdr:rowOff>465455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F4BA9F9-5314-437D-92D6-66951BF10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2127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20</xdr:row>
      <xdr:rowOff>47625</xdr:rowOff>
    </xdr:from>
    <xdr:to>
      <xdr:col>0</xdr:col>
      <xdr:colOff>866775</xdr:colOff>
      <xdr:row>20</xdr:row>
      <xdr:rowOff>465455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FB10438-CBB5-47CF-8C68-1006A15FD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7232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21</xdr:row>
      <xdr:rowOff>47625</xdr:rowOff>
    </xdr:from>
    <xdr:to>
      <xdr:col>0</xdr:col>
      <xdr:colOff>866775</xdr:colOff>
      <xdr:row>21</xdr:row>
      <xdr:rowOff>465455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D9A1008-E098-4DF5-8CFD-BD19D05A3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2337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</xdr:row>
      <xdr:rowOff>47625</xdr:rowOff>
    </xdr:from>
    <xdr:to>
      <xdr:col>0</xdr:col>
      <xdr:colOff>866775</xdr:colOff>
      <xdr:row>22</xdr:row>
      <xdr:rowOff>465455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A405E22-7EF1-4615-81AB-5D7226C30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7443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23</xdr:row>
      <xdr:rowOff>47625</xdr:rowOff>
    </xdr:from>
    <xdr:to>
      <xdr:col>0</xdr:col>
      <xdr:colOff>866775</xdr:colOff>
      <xdr:row>23</xdr:row>
      <xdr:rowOff>465455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3FBFF61-A400-4E16-858D-95583213B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2548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24</xdr:row>
      <xdr:rowOff>47625</xdr:rowOff>
    </xdr:from>
    <xdr:to>
      <xdr:col>0</xdr:col>
      <xdr:colOff>866775</xdr:colOff>
      <xdr:row>24</xdr:row>
      <xdr:rowOff>465455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3F29416-4710-4ADC-94E9-761B05472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765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25</xdr:row>
      <xdr:rowOff>47625</xdr:rowOff>
    </xdr:from>
    <xdr:to>
      <xdr:col>0</xdr:col>
      <xdr:colOff>866775</xdr:colOff>
      <xdr:row>25</xdr:row>
      <xdr:rowOff>465455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F4A7D91-57B6-4A3E-A596-78D7AD622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275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47625</xdr:rowOff>
    </xdr:from>
    <xdr:to>
      <xdr:col>0</xdr:col>
      <xdr:colOff>866775</xdr:colOff>
      <xdr:row>26</xdr:row>
      <xdr:rowOff>465455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7326C24-8C4C-4A37-9A6F-39CF2D54E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786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27</xdr:row>
      <xdr:rowOff>47625</xdr:rowOff>
    </xdr:from>
    <xdr:to>
      <xdr:col>0</xdr:col>
      <xdr:colOff>866775</xdr:colOff>
      <xdr:row>27</xdr:row>
      <xdr:rowOff>465455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AA23609-102C-4210-908E-315E823DB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297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28</xdr:row>
      <xdr:rowOff>47625</xdr:rowOff>
    </xdr:from>
    <xdr:to>
      <xdr:col>0</xdr:col>
      <xdr:colOff>866775</xdr:colOff>
      <xdr:row>28</xdr:row>
      <xdr:rowOff>465455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4B236AC-600F-4663-B9E5-CE5336711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807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47625</xdr:rowOff>
    </xdr:from>
    <xdr:to>
      <xdr:col>0</xdr:col>
      <xdr:colOff>866775</xdr:colOff>
      <xdr:row>29</xdr:row>
      <xdr:rowOff>465455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84F337F-80F5-471C-8A0A-5FD552557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18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30</xdr:row>
      <xdr:rowOff>47625</xdr:rowOff>
    </xdr:from>
    <xdr:to>
      <xdr:col>0</xdr:col>
      <xdr:colOff>866775</xdr:colOff>
      <xdr:row>30</xdr:row>
      <xdr:rowOff>465455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7628C69-CBBF-47B9-AD32-29F3E60C6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828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31</xdr:row>
      <xdr:rowOff>47625</xdr:rowOff>
    </xdr:from>
    <xdr:to>
      <xdr:col>0</xdr:col>
      <xdr:colOff>866775</xdr:colOff>
      <xdr:row>31</xdr:row>
      <xdr:rowOff>465455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8852199-B592-47D5-8E74-C1B080625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339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32</xdr:row>
      <xdr:rowOff>47625</xdr:rowOff>
    </xdr:from>
    <xdr:to>
      <xdr:col>0</xdr:col>
      <xdr:colOff>866775</xdr:colOff>
      <xdr:row>32</xdr:row>
      <xdr:rowOff>465455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059C287-1A41-4612-9793-30C0D7C72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849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33</xdr:row>
      <xdr:rowOff>47625</xdr:rowOff>
    </xdr:from>
    <xdr:to>
      <xdr:col>0</xdr:col>
      <xdr:colOff>866775</xdr:colOff>
      <xdr:row>33</xdr:row>
      <xdr:rowOff>465455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188430E-E25D-4978-8E81-9EFDCE62F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360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34</xdr:row>
      <xdr:rowOff>47625</xdr:rowOff>
    </xdr:from>
    <xdr:to>
      <xdr:col>0</xdr:col>
      <xdr:colOff>866775</xdr:colOff>
      <xdr:row>34</xdr:row>
      <xdr:rowOff>465455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C82142C-566C-483B-B8D3-7AC78292A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870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35</xdr:row>
      <xdr:rowOff>47625</xdr:rowOff>
    </xdr:from>
    <xdr:to>
      <xdr:col>0</xdr:col>
      <xdr:colOff>866775</xdr:colOff>
      <xdr:row>35</xdr:row>
      <xdr:rowOff>465455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321D1CC7-E100-466F-81A1-23D7BC42D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381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36</xdr:row>
      <xdr:rowOff>47625</xdr:rowOff>
    </xdr:from>
    <xdr:to>
      <xdr:col>0</xdr:col>
      <xdr:colOff>866775</xdr:colOff>
      <xdr:row>36</xdr:row>
      <xdr:rowOff>465455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27BD72D-ABBD-4828-8715-6CA0D346C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891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37</xdr:row>
      <xdr:rowOff>47625</xdr:rowOff>
    </xdr:from>
    <xdr:to>
      <xdr:col>0</xdr:col>
      <xdr:colOff>866775</xdr:colOff>
      <xdr:row>37</xdr:row>
      <xdr:rowOff>465455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BB5D948-39D9-4052-A346-60996754A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402425"/>
          <a:ext cx="666750" cy="4178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2E48F6-ABEA-4283-8B8B-181B613D8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3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E44FE7-1F6F-426B-AD8B-85CA12AEB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4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455577-6E98-43CF-A4FE-D68B62A4E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54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</xdr:row>
      <xdr:rowOff>47625</xdr:rowOff>
    </xdr:from>
    <xdr:to>
      <xdr:col>0</xdr:col>
      <xdr:colOff>866775</xdr:colOff>
      <xdr:row>5</xdr:row>
      <xdr:rowOff>465455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FBB841-17C6-404F-9CE1-4ACB0DF1B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65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</xdr:row>
      <xdr:rowOff>47625</xdr:rowOff>
    </xdr:from>
    <xdr:to>
      <xdr:col>0</xdr:col>
      <xdr:colOff>866775</xdr:colOff>
      <xdr:row>6</xdr:row>
      <xdr:rowOff>465455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CB42308-6F71-477B-A0D1-6959A218F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575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</xdr:row>
      <xdr:rowOff>47625</xdr:rowOff>
    </xdr:from>
    <xdr:to>
      <xdr:col>0</xdr:col>
      <xdr:colOff>866775</xdr:colOff>
      <xdr:row>7</xdr:row>
      <xdr:rowOff>465455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2E6263-950D-41C1-9DC1-F303A8033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086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47625</xdr:rowOff>
    </xdr:from>
    <xdr:to>
      <xdr:col>0</xdr:col>
      <xdr:colOff>866775</xdr:colOff>
      <xdr:row>8</xdr:row>
      <xdr:rowOff>465455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C9ECBA-721A-4B8F-975E-AC5DAF5FB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596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</xdr:row>
      <xdr:rowOff>47625</xdr:rowOff>
    </xdr:from>
    <xdr:to>
      <xdr:col>0</xdr:col>
      <xdr:colOff>866775</xdr:colOff>
      <xdr:row>9</xdr:row>
      <xdr:rowOff>465455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613A95-7F95-4A50-9755-21ECEE6A1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07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10</xdr:row>
      <xdr:rowOff>47625</xdr:rowOff>
    </xdr:from>
    <xdr:to>
      <xdr:col>0</xdr:col>
      <xdr:colOff>866775</xdr:colOff>
      <xdr:row>10</xdr:row>
      <xdr:rowOff>465455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96496A6-3A6E-4EAD-AFEB-F51F15E9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617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47625</xdr:rowOff>
    </xdr:from>
    <xdr:to>
      <xdr:col>0</xdr:col>
      <xdr:colOff>866775</xdr:colOff>
      <xdr:row>11</xdr:row>
      <xdr:rowOff>465455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2EC56A-A570-47BD-8056-FA4B44A51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128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12</xdr:row>
      <xdr:rowOff>47625</xdr:rowOff>
    </xdr:from>
    <xdr:to>
      <xdr:col>0</xdr:col>
      <xdr:colOff>866775</xdr:colOff>
      <xdr:row>12</xdr:row>
      <xdr:rowOff>465455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CD3A030-D669-42F1-9E2C-D4CF8C7AD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38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13</xdr:row>
      <xdr:rowOff>47625</xdr:rowOff>
    </xdr:from>
    <xdr:to>
      <xdr:col>0</xdr:col>
      <xdr:colOff>866775</xdr:colOff>
      <xdr:row>13</xdr:row>
      <xdr:rowOff>465455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1BF1E95-9C68-4402-AB3E-ACF0DC1CA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149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</xdr:row>
      <xdr:rowOff>47625</xdr:rowOff>
    </xdr:from>
    <xdr:to>
      <xdr:col>0</xdr:col>
      <xdr:colOff>866775</xdr:colOff>
      <xdr:row>14</xdr:row>
      <xdr:rowOff>465455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F2CADE4-DB28-4C9E-A8D4-18B5DF5C3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6600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15</xdr:row>
      <xdr:rowOff>47625</xdr:rowOff>
    </xdr:from>
    <xdr:to>
      <xdr:col>0</xdr:col>
      <xdr:colOff>866775</xdr:colOff>
      <xdr:row>15</xdr:row>
      <xdr:rowOff>465455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2ABC67-4D8C-4816-B1E8-48CF56E44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1705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16</xdr:row>
      <xdr:rowOff>47625</xdr:rowOff>
    </xdr:from>
    <xdr:to>
      <xdr:col>0</xdr:col>
      <xdr:colOff>866775</xdr:colOff>
      <xdr:row>16</xdr:row>
      <xdr:rowOff>465455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3CCA645-D7F2-497B-B8FE-3A9F0C517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6810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</xdr:row>
      <xdr:rowOff>47625</xdr:rowOff>
    </xdr:from>
    <xdr:to>
      <xdr:col>0</xdr:col>
      <xdr:colOff>866775</xdr:colOff>
      <xdr:row>17</xdr:row>
      <xdr:rowOff>465455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3ECD14E-800C-4070-BA7A-F18BBE548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1916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47625</xdr:rowOff>
    </xdr:from>
    <xdr:to>
      <xdr:col>0</xdr:col>
      <xdr:colOff>866775</xdr:colOff>
      <xdr:row>18</xdr:row>
      <xdr:rowOff>465455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5E7908D-EE2D-4D32-9E4F-AACB86435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021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19</xdr:row>
      <xdr:rowOff>47625</xdr:rowOff>
    </xdr:from>
    <xdr:to>
      <xdr:col>0</xdr:col>
      <xdr:colOff>866775</xdr:colOff>
      <xdr:row>19</xdr:row>
      <xdr:rowOff>465455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9DEF6A6-74E6-4B83-9394-966299791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2127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20</xdr:row>
      <xdr:rowOff>47625</xdr:rowOff>
    </xdr:from>
    <xdr:to>
      <xdr:col>0</xdr:col>
      <xdr:colOff>866775</xdr:colOff>
      <xdr:row>20</xdr:row>
      <xdr:rowOff>465455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9D08A74-6BD9-4E09-8C3B-B872FD625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7232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21</xdr:row>
      <xdr:rowOff>47625</xdr:rowOff>
    </xdr:from>
    <xdr:to>
      <xdr:col>0</xdr:col>
      <xdr:colOff>866775</xdr:colOff>
      <xdr:row>21</xdr:row>
      <xdr:rowOff>465455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CCFE72F-8B84-4523-8A13-27F8A2FDA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2337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</xdr:row>
      <xdr:rowOff>47625</xdr:rowOff>
    </xdr:from>
    <xdr:to>
      <xdr:col>0</xdr:col>
      <xdr:colOff>866775</xdr:colOff>
      <xdr:row>22</xdr:row>
      <xdr:rowOff>465455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6E9DE91-F1A5-4014-B158-BB714E15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7443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23</xdr:row>
      <xdr:rowOff>47625</xdr:rowOff>
    </xdr:from>
    <xdr:to>
      <xdr:col>0</xdr:col>
      <xdr:colOff>866775</xdr:colOff>
      <xdr:row>23</xdr:row>
      <xdr:rowOff>465455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FA0862-079C-4167-A3B6-484A0542D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2548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24</xdr:row>
      <xdr:rowOff>47625</xdr:rowOff>
    </xdr:from>
    <xdr:to>
      <xdr:col>0</xdr:col>
      <xdr:colOff>866775</xdr:colOff>
      <xdr:row>24</xdr:row>
      <xdr:rowOff>465455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87D2FB7-DF81-4FBE-8260-00B009528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765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25</xdr:row>
      <xdr:rowOff>47625</xdr:rowOff>
    </xdr:from>
    <xdr:to>
      <xdr:col>0</xdr:col>
      <xdr:colOff>866775</xdr:colOff>
      <xdr:row>25</xdr:row>
      <xdr:rowOff>465455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4D570B7-E973-4349-AF9B-1D822AD77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275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47625</xdr:rowOff>
    </xdr:from>
    <xdr:to>
      <xdr:col>0</xdr:col>
      <xdr:colOff>866775</xdr:colOff>
      <xdr:row>26</xdr:row>
      <xdr:rowOff>465455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FD44F4C-E27A-417A-A6AE-255990C8C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786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27</xdr:row>
      <xdr:rowOff>47625</xdr:rowOff>
    </xdr:from>
    <xdr:to>
      <xdr:col>0</xdr:col>
      <xdr:colOff>866775</xdr:colOff>
      <xdr:row>27</xdr:row>
      <xdr:rowOff>465455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AE8FFA5-321B-42B9-8ADF-2A931CD8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297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28</xdr:row>
      <xdr:rowOff>47625</xdr:rowOff>
    </xdr:from>
    <xdr:to>
      <xdr:col>0</xdr:col>
      <xdr:colOff>866775</xdr:colOff>
      <xdr:row>28</xdr:row>
      <xdr:rowOff>465455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B35885D-DCBF-4EED-B14A-239407FF3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807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47625</xdr:rowOff>
    </xdr:from>
    <xdr:to>
      <xdr:col>0</xdr:col>
      <xdr:colOff>866775</xdr:colOff>
      <xdr:row>29</xdr:row>
      <xdr:rowOff>465455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CE38EDC-9B30-4CD3-9C7F-1867CC320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18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30</xdr:row>
      <xdr:rowOff>47625</xdr:rowOff>
    </xdr:from>
    <xdr:to>
      <xdr:col>0</xdr:col>
      <xdr:colOff>866775</xdr:colOff>
      <xdr:row>30</xdr:row>
      <xdr:rowOff>465455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3501D70-51A8-42EA-B8F5-B7F29B371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828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31</xdr:row>
      <xdr:rowOff>47625</xdr:rowOff>
    </xdr:from>
    <xdr:to>
      <xdr:col>0</xdr:col>
      <xdr:colOff>866775</xdr:colOff>
      <xdr:row>31</xdr:row>
      <xdr:rowOff>465455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CCBD0F0-37B9-4BF6-8585-C547AD1B1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339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32</xdr:row>
      <xdr:rowOff>47625</xdr:rowOff>
    </xdr:from>
    <xdr:to>
      <xdr:col>0</xdr:col>
      <xdr:colOff>866775</xdr:colOff>
      <xdr:row>32</xdr:row>
      <xdr:rowOff>465455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264B205E-4519-46D2-BBBF-F7A2B389F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849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33</xdr:row>
      <xdr:rowOff>47625</xdr:rowOff>
    </xdr:from>
    <xdr:to>
      <xdr:col>0</xdr:col>
      <xdr:colOff>866775</xdr:colOff>
      <xdr:row>33</xdr:row>
      <xdr:rowOff>465455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0772B88-C43F-4910-88FA-8A8E1BD2C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360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34</xdr:row>
      <xdr:rowOff>47625</xdr:rowOff>
    </xdr:from>
    <xdr:to>
      <xdr:col>0</xdr:col>
      <xdr:colOff>866775</xdr:colOff>
      <xdr:row>34</xdr:row>
      <xdr:rowOff>465455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9FA6D89-5A47-48DE-9A7C-25E90FE8A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870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35</xdr:row>
      <xdr:rowOff>47625</xdr:rowOff>
    </xdr:from>
    <xdr:to>
      <xdr:col>0</xdr:col>
      <xdr:colOff>866775</xdr:colOff>
      <xdr:row>35</xdr:row>
      <xdr:rowOff>465455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A12DCF8-5A6D-4470-BD31-D0733692C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381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36</xdr:row>
      <xdr:rowOff>47625</xdr:rowOff>
    </xdr:from>
    <xdr:to>
      <xdr:col>0</xdr:col>
      <xdr:colOff>866775</xdr:colOff>
      <xdr:row>36</xdr:row>
      <xdr:rowOff>465455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69117D6-F69E-43FE-9063-F33055FD1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891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37</xdr:row>
      <xdr:rowOff>47625</xdr:rowOff>
    </xdr:from>
    <xdr:to>
      <xdr:col>0</xdr:col>
      <xdr:colOff>866775</xdr:colOff>
      <xdr:row>37</xdr:row>
      <xdr:rowOff>465455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4EB9099-3824-4E16-9FFB-412202999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402425"/>
          <a:ext cx="666750" cy="4178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EEFEC4-5F68-4FCF-B5E3-0DDAE71E6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3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FB85EB-30A5-4E5B-8165-79E614EA3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4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BBD4FE-7A54-4B12-8A0F-7B4331691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54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</xdr:row>
      <xdr:rowOff>47625</xdr:rowOff>
    </xdr:from>
    <xdr:to>
      <xdr:col>0</xdr:col>
      <xdr:colOff>866775</xdr:colOff>
      <xdr:row>5</xdr:row>
      <xdr:rowOff>465455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19E8FC-5BF2-46E2-8AD8-80E8C1C3E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65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</xdr:row>
      <xdr:rowOff>47625</xdr:rowOff>
    </xdr:from>
    <xdr:to>
      <xdr:col>0</xdr:col>
      <xdr:colOff>866775</xdr:colOff>
      <xdr:row>6</xdr:row>
      <xdr:rowOff>465455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74583A-42A5-4ED8-BD32-77754C7E7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575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</xdr:row>
      <xdr:rowOff>47625</xdr:rowOff>
    </xdr:from>
    <xdr:to>
      <xdr:col>0</xdr:col>
      <xdr:colOff>866775</xdr:colOff>
      <xdr:row>7</xdr:row>
      <xdr:rowOff>465455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DE8A2A-F388-4D02-8319-F2D10C408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086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47625</xdr:rowOff>
    </xdr:from>
    <xdr:to>
      <xdr:col>0</xdr:col>
      <xdr:colOff>866775</xdr:colOff>
      <xdr:row>8</xdr:row>
      <xdr:rowOff>465455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8DA10D-6CC1-46A2-BD73-B425081A9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596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</xdr:row>
      <xdr:rowOff>47625</xdr:rowOff>
    </xdr:from>
    <xdr:to>
      <xdr:col>0</xdr:col>
      <xdr:colOff>866775</xdr:colOff>
      <xdr:row>9</xdr:row>
      <xdr:rowOff>465455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4156E9-A3F2-44B6-B759-0C6263E0D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07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10</xdr:row>
      <xdr:rowOff>47625</xdr:rowOff>
    </xdr:from>
    <xdr:to>
      <xdr:col>0</xdr:col>
      <xdr:colOff>866775</xdr:colOff>
      <xdr:row>10</xdr:row>
      <xdr:rowOff>465455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A48C32-DEE2-4B98-BB66-5C57A0F3D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617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47625</xdr:rowOff>
    </xdr:from>
    <xdr:to>
      <xdr:col>0</xdr:col>
      <xdr:colOff>866775</xdr:colOff>
      <xdr:row>11</xdr:row>
      <xdr:rowOff>465455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9393792-D5D9-41F6-A26F-0F8E5B464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128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12</xdr:row>
      <xdr:rowOff>47625</xdr:rowOff>
    </xdr:from>
    <xdr:to>
      <xdr:col>0</xdr:col>
      <xdr:colOff>866775</xdr:colOff>
      <xdr:row>12</xdr:row>
      <xdr:rowOff>465455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B292302-389F-4EFC-B9DB-88B7BDC6B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38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13</xdr:row>
      <xdr:rowOff>47625</xdr:rowOff>
    </xdr:from>
    <xdr:to>
      <xdr:col>0</xdr:col>
      <xdr:colOff>866775</xdr:colOff>
      <xdr:row>13</xdr:row>
      <xdr:rowOff>465455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D4A72E5-107B-47A3-8EBD-EF54C92E0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149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</xdr:row>
      <xdr:rowOff>47625</xdr:rowOff>
    </xdr:from>
    <xdr:to>
      <xdr:col>0</xdr:col>
      <xdr:colOff>866775</xdr:colOff>
      <xdr:row>14</xdr:row>
      <xdr:rowOff>465455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EC3D11A-CDFF-4903-B052-880A466B0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6600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15</xdr:row>
      <xdr:rowOff>47625</xdr:rowOff>
    </xdr:from>
    <xdr:to>
      <xdr:col>0</xdr:col>
      <xdr:colOff>866775</xdr:colOff>
      <xdr:row>15</xdr:row>
      <xdr:rowOff>465455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564DA6E-A305-4220-8819-684EEEE7D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1705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16</xdr:row>
      <xdr:rowOff>47625</xdr:rowOff>
    </xdr:from>
    <xdr:to>
      <xdr:col>0</xdr:col>
      <xdr:colOff>866775</xdr:colOff>
      <xdr:row>16</xdr:row>
      <xdr:rowOff>465455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05E1343-8E7A-4841-82AA-9DAC71568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6810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</xdr:row>
      <xdr:rowOff>47625</xdr:rowOff>
    </xdr:from>
    <xdr:to>
      <xdr:col>0</xdr:col>
      <xdr:colOff>866775</xdr:colOff>
      <xdr:row>17</xdr:row>
      <xdr:rowOff>465455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3420012-223C-4C33-B0A7-4FD00BED0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1916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47625</xdr:rowOff>
    </xdr:from>
    <xdr:to>
      <xdr:col>0</xdr:col>
      <xdr:colOff>866775</xdr:colOff>
      <xdr:row>18</xdr:row>
      <xdr:rowOff>465455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3BB3871-1FD2-4B86-B852-BC32374A8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021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19</xdr:row>
      <xdr:rowOff>47625</xdr:rowOff>
    </xdr:from>
    <xdr:to>
      <xdr:col>0</xdr:col>
      <xdr:colOff>866775</xdr:colOff>
      <xdr:row>19</xdr:row>
      <xdr:rowOff>465455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651DA73-1D43-49F5-A9B3-11FB9B377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2127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20</xdr:row>
      <xdr:rowOff>47625</xdr:rowOff>
    </xdr:from>
    <xdr:to>
      <xdr:col>0</xdr:col>
      <xdr:colOff>866775</xdr:colOff>
      <xdr:row>20</xdr:row>
      <xdr:rowOff>465455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4F6C94-D651-43FA-9DC9-0671810F4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7232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21</xdr:row>
      <xdr:rowOff>47625</xdr:rowOff>
    </xdr:from>
    <xdr:to>
      <xdr:col>0</xdr:col>
      <xdr:colOff>866775</xdr:colOff>
      <xdr:row>21</xdr:row>
      <xdr:rowOff>465455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7EEBFAA-AD64-4B02-8919-AD683E044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2337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</xdr:row>
      <xdr:rowOff>47625</xdr:rowOff>
    </xdr:from>
    <xdr:to>
      <xdr:col>0</xdr:col>
      <xdr:colOff>866775</xdr:colOff>
      <xdr:row>22</xdr:row>
      <xdr:rowOff>465455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B8DBD36-D28F-4CE3-8F7C-8A6474F98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7443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23</xdr:row>
      <xdr:rowOff>47625</xdr:rowOff>
    </xdr:from>
    <xdr:to>
      <xdr:col>0</xdr:col>
      <xdr:colOff>866775</xdr:colOff>
      <xdr:row>23</xdr:row>
      <xdr:rowOff>465455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8D238E3-AE72-4FD8-BEB6-09F77DF35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2548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24</xdr:row>
      <xdr:rowOff>47625</xdr:rowOff>
    </xdr:from>
    <xdr:to>
      <xdr:col>0</xdr:col>
      <xdr:colOff>866775</xdr:colOff>
      <xdr:row>24</xdr:row>
      <xdr:rowOff>465455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77E3B11-5007-42E0-9BF0-CCEF00CD2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765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25</xdr:row>
      <xdr:rowOff>47625</xdr:rowOff>
    </xdr:from>
    <xdr:to>
      <xdr:col>0</xdr:col>
      <xdr:colOff>866775</xdr:colOff>
      <xdr:row>25</xdr:row>
      <xdr:rowOff>465455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C3C2EEE-DA1E-43A2-9868-6F70C3DEA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275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47625</xdr:rowOff>
    </xdr:from>
    <xdr:to>
      <xdr:col>0</xdr:col>
      <xdr:colOff>866775</xdr:colOff>
      <xdr:row>26</xdr:row>
      <xdr:rowOff>465455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B53EA53-FB68-47CC-A970-E9B86D065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786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27</xdr:row>
      <xdr:rowOff>47625</xdr:rowOff>
    </xdr:from>
    <xdr:to>
      <xdr:col>0</xdr:col>
      <xdr:colOff>866775</xdr:colOff>
      <xdr:row>27</xdr:row>
      <xdr:rowOff>465455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EA1A526-F8F2-4F14-BBA0-4FC11BF2A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297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28</xdr:row>
      <xdr:rowOff>47625</xdr:rowOff>
    </xdr:from>
    <xdr:to>
      <xdr:col>0</xdr:col>
      <xdr:colOff>866775</xdr:colOff>
      <xdr:row>28</xdr:row>
      <xdr:rowOff>465455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C0233BF-B8B8-4D4A-B3F1-7E859D05B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807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47625</xdr:rowOff>
    </xdr:from>
    <xdr:to>
      <xdr:col>0</xdr:col>
      <xdr:colOff>866775</xdr:colOff>
      <xdr:row>29</xdr:row>
      <xdr:rowOff>465455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C41506E-19AD-45AB-A721-877905B6E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18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30</xdr:row>
      <xdr:rowOff>47625</xdr:rowOff>
    </xdr:from>
    <xdr:to>
      <xdr:col>0</xdr:col>
      <xdr:colOff>866775</xdr:colOff>
      <xdr:row>30</xdr:row>
      <xdr:rowOff>465455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913C06E-AF6E-42E7-80FF-2372090E9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828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31</xdr:row>
      <xdr:rowOff>47625</xdr:rowOff>
    </xdr:from>
    <xdr:to>
      <xdr:col>0</xdr:col>
      <xdr:colOff>866775</xdr:colOff>
      <xdr:row>31</xdr:row>
      <xdr:rowOff>465455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A706EEB-51C8-43EC-8AF2-302B8AF73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339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32</xdr:row>
      <xdr:rowOff>47625</xdr:rowOff>
    </xdr:from>
    <xdr:to>
      <xdr:col>0</xdr:col>
      <xdr:colOff>866775</xdr:colOff>
      <xdr:row>32</xdr:row>
      <xdr:rowOff>465455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0D27681-87A7-4AE7-85D2-2E2368BE0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849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33</xdr:row>
      <xdr:rowOff>47625</xdr:rowOff>
    </xdr:from>
    <xdr:to>
      <xdr:col>0</xdr:col>
      <xdr:colOff>866775</xdr:colOff>
      <xdr:row>33</xdr:row>
      <xdr:rowOff>465455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BDB2E24-1E32-41BF-BD81-20F295544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360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34</xdr:row>
      <xdr:rowOff>47625</xdr:rowOff>
    </xdr:from>
    <xdr:to>
      <xdr:col>0</xdr:col>
      <xdr:colOff>866775</xdr:colOff>
      <xdr:row>34</xdr:row>
      <xdr:rowOff>465455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02D8213-32FA-42A2-84A8-EC32F8F72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870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35</xdr:row>
      <xdr:rowOff>47625</xdr:rowOff>
    </xdr:from>
    <xdr:to>
      <xdr:col>0</xdr:col>
      <xdr:colOff>866775</xdr:colOff>
      <xdr:row>35</xdr:row>
      <xdr:rowOff>465455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BCC38E7-7AAB-4978-8505-DAAF9BA16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381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36</xdr:row>
      <xdr:rowOff>47625</xdr:rowOff>
    </xdr:from>
    <xdr:to>
      <xdr:col>0</xdr:col>
      <xdr:colOff>866775</xdr:colOff>
      <xdr:row>36</xdr:row>
      <xdr:rowOff>465455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E0CD609-7A49-4712-9DF7-D7CBBC3D3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8918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37</xdr:row>
      <xdr:rowOff>47625</xdr:rowOff>
    </xdr:from>
    <xdr:to>
      <xdr:col>0</xdr:col>
      <xdr:colOff>866775</xdr:colOff>
      <xdr:row>37</xdr:row>
      <xdr:rowOff>465455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68070A7-84FD-4C0F-B84F-67F895D46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4024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38</xdr:row>
      <xdr:rowOff>47625</xdr:rowOff>
    </xdr:from>
    <xdr:to>
      <xdr:col>0</xdr:col>
      <xdr:colOff>866775</xdr:colOff>
      <xdr:row>38</xdr:row>
      <xdr:rowOff>465455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53AEBB3-49A8-4F75-B2B5-0AA35E4E8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9129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39</xdr:row>
      <xdr:rowOff>47625</xdr:rowOff>
    </xdr:from>
    <xdr:to>
      <xdr:col>0</xdr:col>
      <xdr:colOff>866775</xdr:colOff>
      <xdr:row>39</xdr:row>
      <xdr:rowOff>465455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AA3ECB4-B118-4BC6-A429-B7B8A7362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235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40</xdr:row>
      <xdr:rowOff>47625</xdr:rowOff>
    </xdr:from>
    <xdr:to>
      <xdr:col>0</xdr:col>
      <xdr:colOff>866775</xdr:colOff>
      <xdr:row>40</xdr:row>
      <xdr:rowOff>465455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A53A195-1F5F-431C-877B-195734534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934045"/>
          <a:ext cx="666750" cy="4178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32D913-8267-4D3E-9E04-EB674DCAA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3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5BB1D2-A2B0-4849-9D38-56A889253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4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2C649B-447D-459F-A91A-F2949EB83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54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</xdr:row>
      <xdr:rowOff>47625</xdr:rowOff>
    </xdr:from>
    <xdr:to>
      <xdr:col>0</xdr:col>
      <xdr:colOff>866775</xdr:colOff>
      <xdr:row>5</xdr:row>
      <xdr:rowOff>465455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181840-D4CB-4E26-847F-B7015F4DF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65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</xdr:row>
      <xdr:rowOff>47625</xdr:rowOff>
    </xdr:from>
    <xdr:to>
      <xdr:col>0</xdr:col>
      <xdr:colOff>866775</xdr:colOff>
      <xdr:row>6</xdr:row>
      <xdr:rowOff>465455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48ABE4D-0599-4E3C-9E93-616C68EF4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575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</xdr:row>
      <xdr:rowOff>47625</xdr:rowOff>
    </xdr:from>
    <xdr:to>
      <xdr:col>0</xdr:col>
      <xdr:colOff>866775</xdr:colOff>
      <xdr:row>7</xdr:row>
      <xdr:rowOff>465455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F0A18E-67D5-40C9-A8B0-8173650E9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086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47625</xdr:rowOff>
    </xdr:from>
    <xdr:to>
      <xdr:col>0</xdr:col>
      <xdr:colOff>866775</xdr:colOff>
      <xdr:row>8</xdr:row>
      <xdr:rowOff>465455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A24FFFB-CFC4-4C2F-901E-891A1D493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596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</xdr:row>
      <xdr:rowOff>47625</xdr:rowOff>
    </xdr:from>
    <xdr:to>
      <xdr:col>0</xdr:col>
      <xdr:colOff>866775</xdr:colOff>
      <xdr:row>9</xdr:row>
      <xdr:rowOff>465455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6D2F60C-9372-4F17-84EA-68B2FB7D5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07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10</xdr:row>
      <xdr:rowOff>47625</xdr:rowOff>
    </xdr:from>
    <xdr:to>
      <xdr:col>0</xdr:col>
      <xdr:colOff>866775</xdr:colOff>
      <xdr:row>10</xdr:row>
      <xdr:rowOff>465455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883F527-2C48-41B8-AE54-236694D5A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617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47625</xdr:rowOff>
    </xdr:from>
    <xdr:to>
      <xdr:col>0</xdr:col>
      <xdr:colOff>866775</xdr:colOff>
      <xdr:row>11</xdr:row>
      <xdr:rowOff>465455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4F85AEC-CB46-4729-A69B-B881FB21C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128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12</xdr:row>
      <xdr:rowOff>47625</xdr:rowOff>
    </xdr:from>
    <xdr:to>
      <xdr:col>0</xdr:col>
      <xdr:colOff>866775</xdr:colOff>
      <xdr:row>12</xdr:row>
      <xdr:rowOff>465455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631EE44-0B51-462E-A674-E7D90A9F9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38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13</xdr:row>
      <xdr:rowOff>47625</xdr:rowOff>
    </xdr:from>
    <xdr:to>
      <xdr:col>0</xdr:col>
      <xdr:colOff>866775</xdr:colOff>
      <xdr:row>13</xdr:row>
      <xdr:rowOff>465455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51C4805-69EC-418C-A98D-8B2F438ED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149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</xdr:row>
      <xdr:rowOff>47625</xdr:rowOff>
    </xdr:from>
    <xdr:to>
      <xdr:col>0</xdr:col>
      <xdr:colOff>866775</xdr:colOff>
      <xdr:row>14</xdr:row>
      <xdr:rowOff>465455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07B70B1-6491-4368-BBC9-D167D1603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6600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15</xdr:row>
      <xdr:rowOff>47625</xdr:rowOff>
    </xdr:from>
    <xdr:to>
      <xdr:col>0</xdr:col>
      <xdr:colOff>866775</xdr:colOff>
      <xdr:row>15</xdr:row>
      <xdr:rowOff>465455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526B2A9-E8D6-4A5A-8925-1FDDBAEEF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1705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16</xdr:row>
      <xdr:rowOff>47625</xdr:rowOff>
    </xdr:from>
    <xdr:to>
      <xdr:col>0</xdr:col>
      <xdr:colOff>866775</xdr:colOff>
      <xdr:row>16</xdr:row>
      <xdr:rowOff>465455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67207B4-DB28-4C52-9616-A9DA11C88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6810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</xdr:row>
      <xdr:rowOff>47625</xdr:rowOff>
    </xdr:from>
    <xdr:to>
      <xdr:col>0</xdr:col>
      <xdr:colOff>866775</xdr:colOff>
      <xdr:row>17</xdr:row>
      <xdr:rowOff>465455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C3F0F9E-EC2C-4150-A958-19B550231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1916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47625</xdr:rowOff>
    </xdr:from>
    <xdr:to>
      <xdr:col>0</xdr:col>
      <xdr:colOff>866775</xdr:colOff>
      <xdr:row>18</xdr:row>
      <xdr:rowOff>465455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AC6D601-FD2B-4267-BF15-761546A1A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021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19</xdr:row>
      <xdr:rowOff>47625</xdr:rowOff>
    </xdr:from>
    <xdr:to>
      <xdr:col>0</xdr:col>
      <xdr:colOff>866775</xdr:colOff>
      <xdr:row>19</xdr:row>
      <xdr:rowOff>465455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92765E3-2242-4BF8-A20F-DADB5792C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2127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20</xdr:row>
      <xdr:rowOff>47625</xdr:rowOff>
    </xdr:from>
    <xdr:to>
      <xdr:col>0</xdr:col>
      <xdr:colOff>866775</xdr:colOff>
      <xdr:row>20</xdr:row>
      <xdr:rowOff>465455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E78021B-07AD-4E9E-9C32-9535B6FF6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7232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21</xdr:row>
      <xdr:rowOff>47625</xdr:rowOff>
    </xdr:from>
    <xdr:to>
      <xdr:col>0</xdr:col>
      <xdr:colOff>866775</xdr:colOff>
      <xdr:row>21</xdr:row>
      <xdr:rowOff>465455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D935669-E218-40EA-810A-D9D7A6FE0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2337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</xdr:row>
      <xdr:rowOff>47625</xdr:rowOff>
    </xdr:from>
    <xdr:to>
      <xdr:col>0</xdr:col>
      <xdr:colOff>866775</xdr:colOff>
      <xdr:row>22</xdr:row>
      <xdr:rowOff>465455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ADE1B2D-E215-4648-82DC-99232B53A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7443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23</xdr:row>
      <xdr:rowOff>47625</xdr:rowOff>
    </xdr:from>
    <xdr:to>
      <xdr:col>0</xdr:col>
      <xdr:colOff>866775</xdr:colOff>
      <xdr:row>23</xdr:row>
      <xdr:rowOff>465455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2DFF8A8-F88D-426D-9D7F-DA74E3C8F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2548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24</xdr:row>
      <xdr:rowOff>47625</xdr:rowOff>
    </xdr:from>
    <xdr:to>
      <xdr:col>0</xdr:col>
      <xdr:colOff>866775</xdr:colOff>
      <xdr:row>24</xdr:row>
      <xdr:rowOff>465455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89756D8-2203-4870-8B8B-492966FF2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765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25</xdr:row>
      <xdr:rowOff>47625</xdr:rowOff>
    </xdr:from>
    <xdr:to>
      <xdr:col>0</xdr:col>
      <xdr:colOff>866775</xdr:colOff>
      <xdr:row>25</xdr:row>
      <xdr:rowOff>465455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042AC6B-BC79-496C-952B-11959F8E7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275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47625</xdr:rowOff>
    </xdr:from>
    <xdr:to>
      <xdr:col>0</xdr:col>
      <xdr:colOff>866775</xdr:colOff>
      <xdr:row>26</xdr:row>
      <xdr:rowOff>465455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D31D5C1-A481-46CE-AD1B-90CED8495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786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27</xdr:row>
      <xdr:rowOff>47625</xdr:rowOff>
    </xdr:from>
    <xdr:to>
      <xdr:col>0</xdr:col>
      <xdr:colOff>866775</xdr:colOff>
      <xdr:row>27</xdr:row>
      <xdr:rowOff>465455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DAFF29A-8C45-4963-B640-EDBC03F24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297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28</xdr:row>
      <xdr:rowOff>47625</xdr:rowOff>
    </xdr:from>
    <xdr:to>
      <xdr:col>0</xdr:col>
      <xdr:colOff>866775</xdr:colOff>
      <xdr:row>28</xdr:row>
      <xdr:rowOff>465455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F8167A7-7ADE-46B4-82A5-4A24CBFBC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807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47625</xdr:rowOff>
    </xdr:from>
    <xdr:to>
      <xdr:col>0</xdr:col>
      <xdr:colOff>866775</xdr:colOff>
      <xdr:row>29</xdr:row>
      <xdr:rowOff>465455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D097548-5D3F-4D4F-AE40-373B7EA67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18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30</xdr:row>
      <xdr:rowOff>47625</xdr:rowOff>
    </xdr:from>
    <xdr:to>
      <xdr:col>0</xdr:col>
      <xdr:colOff>866775</xdr:colOff>
      <xdr:row>30</xdr:row>
      <xdr:rowOff>465455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B23795A-C6CF-4C46-9D04-A09275E4B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828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31</xdr:row>
      <xdr:rowOff>47625</xdr:rowOff>
    </xdr:from>
    <xdr:to>
      <xdr:col>0</xdr:col>
      <xdr:colOff>866775</xdr:colOff>
      <xdr:row>31</xdr:row>
      <xdr:rowOff>465455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ABEAA69-D549-4491-A74C-EDB4CA454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339185"/>
          <a:ext cx="666750" cy="4178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E86056-96D3-4651-9B7B-6AE6A06FD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3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AEB7AB-0DDB-4D9A-8777-916AEE2F6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4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0FED51-8E1A-4CE5-93FE-8AF66F47C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54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</xdr:row>
      <xdr:rowOff>47625</xdr:rowOff>
    </xdr:from>
    <xdr:to>
      <xdr:col>0</xdr:col>
      <xdr:colOff>866775</xdr:colOff>
      <xdr:row>5</xdr:row>
      <xdr:rowOff>465455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02BE45-BC26-4C92-818B-5DE7C90CA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65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</xdr:row>
      <xdr:rowOff>47625</xdr:rowOff>
    </xdr:from>
    <xdr:to>
      <xdr:col>0</xdr:col>
      <xdr:colOff>866775</xdr:colOff>
      <xdr:row>6</xdr:row>
      <xdr:rowOff>465455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F11AF1-67F3-4E62-929B-17ED700B9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575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</xdr:row>
      <xdr:rowOff>47625</xdr:rowOff>
    </xdr:from>
    <xdr:to>
      <xdr:col>0</xdr:col>
      <xdr:colOff>866775</xdr:colOff>
      <xdr:row>7</xdr:row>
      <xdr:rowOff>465455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E646070-4B4D-4DF8-96BB-7509954AF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086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47625</xdr:rowOff>
    </xdr:from>
    <xdr:to>
      <xdr:col>0</xdr:col>
      <xdr:colOff>866775</xdr:colOff>
      <xdr:row>8</xdr:row>
      <xdr:rowOff>465455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44A724A-3DE6-4F64-9C02-D94E9B93C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596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</xdr:row>
      <xdr:rowOff>47625</xdr:rowOff>
    </xdr:from>
    <xdr:to>
      <xdr:col>0</xdr:col>
      <xdr:colOff>866775</xdr:colOff>
      <xdr:row>9</xdr:row>
      <xdr:rowOff>465455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3EDDACE-AFEF-441E-BC0E-B7DEEDC28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07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10</xdr:row>
      <xdr:rowOff>47625</xdr:rowOff>
    </xdr:from>
    <xdr:to>
      <xdr:col>0</xdr:col>
      <xdr:colOff>866775</xdr:colOff>
      <xdr:row>10</xdr:row>
      <xdr:rowOff>465455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99533B7-6F12-4F04-BBA6-4B53F563E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617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47625</xdr:rowOff>
    </xdr:from>
    <xdr:to>
      <xdr:col>0</xdr:col>
      <xdr:colOff>866775</xdr:colOff>
      <xdr:row>11</xdr:row>
      <xdr:rowOff>465455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94DD4E-DC45-49D6-B769-0EBF0C813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128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12</xdr:row>
      <xdr:rowOff>47625</xdr:rowOff>
    </xdr:from>
    <xdr:to>
      <xdr:col>0</xdr:col>
      <xdr:colOff>866775</xdr:colOff>
      <xdr:row>12</xdr:row>
      <xdr:rowOff>465455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A577AB0-DF80-4F63-B683-D071BFCF1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38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13</xdr:row>
      <xdr:rowOff>47625</xdr:rowOff>
    </xdr:from>
    <xdr:to>
      <xdr:col>0</xdr:col>
      <xdr:colOff>866775</xdr:colOff>
      <xdr:row>13</xdr:row>
      <xdr:rowOff>465455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2A52699-70E5-4808-A313-20D8E571F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149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</xdr:row>
      <xdr:rowOff>47625</xdr:rowOff>
    </xdr:from>
    <xdr:to>
      <xdr:col>0</xdr:col>
      <xdr:colOff>866775</xdr:colOff>
      <xdr:row>14</xdr:row>
      <xdr:rowOff>465455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A42D38B-7E1B-47B0-BA5C-FD63F166B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6600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15</xdr:row>
      <xdr:rowOff>47625</xdr:rowOff>
    </xdr:from>
    <xdr:to>
      <xdr:col>0</xdr:col>
      <xdr:colOff>866775</xdr:colOff>
      <xdr:row>15</xdr:row>
      <xdr:rowOff>465455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E112009-D16F-4494-A7BB-BAF44188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1705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16</xdr:row>
      <xdr:rowOff>47625</xdr:rowOff>
    </xdr:from>
    <xdr:to>
      <xdr:col>0</xdr:col>
      <xdr:colOff>866775</xdr:colOff>
      <xdr:row>16</xdr:row>
      <xdr:rowOff>465455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88F8E2B-6D93-411D-B0B2-11DC55316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6810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</xdr:row>
      <xdr:rowOff>47625</xdr:rowOff>
    </xdr:from>
    <xdr:to>
      <xdr:col>0</xdr:col>
      <xdr:colOff>866775</xdr:colOff>
      <xdr:row>17</xdr:row>
      <xdr:rowOff>465455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7933335-CB61-48C4-8B25-01246F285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1916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47625</xdr:rowOff>
    </xdr:from>
    <xdr:to>
      <xdr:col>0</xdr:col>
      <xdr:colOff>866775</xdr:colOff>
      <xdr:row>18</xdr:row>
      <xdr:rowOff>465455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56B9E10-13C7-42E1-A9A7-68E5304DD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021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19</xdr:row>
      <xdr:rowOff>47625</xdr:rowOff>
    </xdr:from>
    <xdr:to>
      <xdr:col>0</xdr:col>
      <xdr:colOff>866775</xdr:colOff>
      <xdr:row>19</xdr:row>
      <xdr:rowOff>465455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0EC265D-66B2-48B2-B107-FBFEBA3D2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2127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20</xdr:row>
      <xdr:rowOff>47625</xdr:rowOff>
    </xdr:from>
    <xdr:to>
      <xdr:col>0</xdr:col>
      <xdr:colOff>866775</xdr:colOff>
      <xdr:row>20</xdr:row>
      <xdr:rowOff>465455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D4185A2-E6CA-4957-986D-47AE8FC6B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7232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21</xdr:row>
      <xdr:rowOff>47625</xdr:rowOff>
    </xdr:from>
    <xdr:to>
      <xdr:col>0</xdr:col>
      <xdr:colOff>866775</xdr:colOff>
      <xdr:row>21</xdr:row>
      <xdr:rowOff>465455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3F65EB2-ABDA-4D24-98A2-16AD15840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2337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</xdr:row>
      <xdr:rowOff>47625</xdr:rowOff>
    </xdr:from>
    <xdr:to>
      <xdr:col>0</xdr:col>
      <xdr:colOff>866775</xdr:colOff>
      <xdr:row>22</xdr:row>
      <xdr:rowOff>465455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F2072D6-C03F-40AE-8887-1ED0D8570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7443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23</xdr:row>
      <xdr:rowOff>47625</xdr:rowOff>
    </xdr:from>
    <xdr:to>
      <xdr:col>0</xdr:col>
      <xdr:colOff>866775</xdr:colOff>
      <xdr:row>23</xdr:row>
      <xdr:rowOff>465455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C3671E6-76D7-4E7F-965D-6E0B30F0E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2548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24</xdr:row>
      <xdr:rowOff>47625</xdr:rowOff>
    </xdr:from>
    <xdr:to>
      <xdr:col>0</xdr:col>
      <xdr:colOff>866775</xdr:colOff>
      <xdr:row>24</xdr:row>
      <xdr:rowOff>465455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171D60C-F25B-44DD-9E45-6D29084F2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765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25</xdr:row>
      <xdr:rowOff>47625</xdr:rowOff>
    </xdr:from>
    <xdr:to>
      <xdr:col>0</xdr:col>
      <xdr:colOff>866775</xdr:colOff>
      <xdr:row>25</xdr:row>
      <xdr:rowOff>465455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6A961E1-7240-4293-9661-2485DF5DE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275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47625</xdr:rowOff>
    </xdr:from>
    <xdr:to>
      <xdr:col>0</xdr:col>
      <xdr:colOff>866775</xdr:colOff>
      <xdr:row>26</xdr:row>
      <xdr:rowOff>465455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4E20BF3-F362-47D1-9A40-3463C06F5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3163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27</xdr:row>
      <xdr:rowOff>47625</xdr:rowOff>
    </xdr:from>
    <xdr:to>
      <xdr:col>0</xdr:col>
      <xdr:colOff>866775</xdr:colOff>
      <xdr:row>27</xdr:row>
      <xdr:rowOff>465455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E8C826B-2EB5-4EFF-A4FB-0B26CD57F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297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28</xdr:row>
      <xdr:rowOff>47625</xdr:rowOff>
    </xdr:from>
    <xdr:to>
      <xdr:col>0</xdr:col>
      <xdr:colOff>866775</xdr:colOff>
      <xdr:row>28</xdr:row>
      <xdr:rowOff>465455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10E1BA9-3A45-4078-9519-E2983FE77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807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47625</xdr:rowOff>
    </xdr:from>
    <xdr:to>
      <xdr:col>0</xdr:col>
      <xdr:colOff>866775</xdr:colOff>
      <xdr:row>29</xdr:row>
      <xdr:rowOff>465455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3B7CF88-9D51-4B9C-B203-E17142C82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18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30</xdr:row>
      <xdr:rowOff>47625</xdr:rowOff>
    </xdr:from>
    <xdr:to>
      <xdr:col>0</xdr:col>
      <xdr:colOff>866775</xdr:colOff>
      <xdr:row>30</xdr:row>
      <xdr:rowOff>465455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F4A976F-10BF-46F7-9A1D-F10AC11FD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828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31</xdr:row>
      <xdr:rowOff>47625</xdr:rowOff>
    </xdr:from>
    <xdr:to>
      <xdr:col>0</xdr:col>
      <xdr:colOff>866775</xdr:colOff>
      <xdr:row>31</xdr:row>
      <xdr:rowOff>465455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D679761-9A0D-474D-B332-6B8D20B41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339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32</xdr:row>
      <xdr:rowOff>47625</xdr:rowOff>
    </xdr:from>
    <xdr:to>
      <xdr:col>0</xdr:col>
      <xdr:colOff>866775</xdr:colOff>
      <xdr:row>32</xdr:row>
      <xdr:rowOff>465455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65ACAC5-F898-4983-81D1-053BC1282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849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33</xdr:row>
      <xdr:rowOff>47625</xdr:rowOff>
    </xdr:from>
    <xdr:to>
      <xdr:col>0</xdr:col>
      <xdr:colOff>866775</xdr:colOff>
      <xdr:row>33</xdr:row>
      <xdr:rowOff>465455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24AA3EF-FA3B-470F-A9B6-A9E0C099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3602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34</xdr:row>
      <xdr:rowOff>47625</xdr:rowOff>
    </xdr:from>
    <xdr:to>
      <xdr:col>0</xdr:col>
      <xdr:colOff>866775</xdr:colOff>
      <xdr:row>34</xdr:row>
      <xdr:rowOff>465455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86BA630-FA0F-4BA5-8215-573FF909D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8708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35</xdr:row>
      <xdr:rowOff>47625</xdr:rowOff>
    </xdr:from>
    <xdr:to>
      <xdr:col>0</xdr:col>
      <xdr:colOff>866775</xdr:colOff>
      <xdr:row>35</xdr:row>
      <xdr:rowOff>465455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ECF02BE-5D81-40C6-B99E-412E154F9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3813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36</xdr:row>
      <xdr:rowOff>47625</xdr:rowOff>
    </xdr:from>
    <xdr:to>
      <xdr:col>0</xdr:col>
      <xdr:colOff>866775</xdr:colOff>
      <xdr:row>36</xdr:row>
      <xdr:rowOff>465455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3EE7BCF-7810-465C-9BBC-C5FF35134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8891885"/>
          <a:ext cx="666750" cy="4178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47625</xdr:rowOff>
    </xdr:from>
    <xdr:to>
      <xdr:col>0</xdr:col>
      <xdr:colOff>866775</xdr:colOff>
      <xdr:row>2</xdr:row>
      <xdr:rowOff>465455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5642F-DA19-4066-9928-8BD8DE768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35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</xdr:row>
      <xdr:rowOff>47625</xdr:rowOff>
    </xdr:from>
    <xdr:to>
      <xdr:col>0</xdr:col>
      <xdr:colOff>866775</xdr:colOff>
      <xdr:row>3</xdr:row>
      <xdr:rowOff>465455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9F4C09-538F-44AF-9324-81C4147DD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0440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4</xdr:row>
      <xdr:rowOff>47625</xdr:rowOff>
    </xdr:from>
    <xdr:to>
      <xdr:col>0</xdr:col>
      <xdr:colOff>866775</xdr:colOff>
      <xdr:row>4</xdr:row>
      <xdr:rowOff>465455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EA0039-1570-4526-B7C2-6AC1D6130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25546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5</xdr:row>
      <xdr:rowOff>47625</xdr:rowOff>
    </xdr:from>
    <xdr:to>
      <xdr:col>0</xdr:col>
      <xdr:colOff>866775</xdr:colOff>
      <xdr:row>5</xdr:row>
      <xdr:rowOff>465455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51C6F7-7F38-41BF-8E52-41C62D561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0651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6</xdr:row>
      <xdr:rowOff>47625</xdr:rowOff>
    </xdr:from>
    <xdr:to>
      <xdr:col>0</xdr:col>
      <xdr:colOff>866775</xdr:colOff>
      <xdr:row>6</xdr:row>
      <xdr:rowOff>465455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FDA8A6-32DC-4DC6-828D-9809AAE0B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35756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7</xdr:row>
      <xdr:rowOff>47625</xdr:rowOff>
    </xdr:from>
    <xdr:to>
      <xdr:col>0</xdr:col>
      <xdr:colOff>866775</xdr:colOff>
      <xdr:row>7</xdr:row>
      <xdr:rowOff>465455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E7E930-D0E9-4B4C-A2DC-513BC96D8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0862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8</xdr:row>
      <xdr:rowOff>47625</xdr:rowOff>
    </xdr:from>
    <xdr:to>
      <xdr:col>0</xdr:col>
      <xdr:colOff>866775</xdr:colOff>
      <xdr:row>8</xdr:row>
      <xdr:rowOff>465455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D817810-131A-424A-A266-6C30C2665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5967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9</xdr:row>
      <xdr:rowOff>47625</xdr:rowOff>
    </xdr:from>
    <xdr:to>
      <xdr:col>0</xdr:col>
      <xdr:colOff>866775</xdr:colOff>
      <xdr:row>9</xdr:row>
      <xdr:rowOff>465455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2111A98-CA92-4A7A-80EA-6029C0956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1073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10</xdr:row>
      <xdr:rowOff>47625</xdr:rowOff>
    </xdr:from>
    <xdr:to>
      <xdr:col>0</xdr:col>
      <xdr:colOff>866775</xdr:colOff>
      <xdr:row>10</xdr:row>
      <xdr:rowOff>465455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A707B09-5E86-4D95-9885-B9FBF79CD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56178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47625</xdr:rowOff>
    </xdr:from>
    <xdr:to>
      <xdr:col>0</xdr:col>
      <xdr:colOff>866775</xdr:colOff>
      <xdr:row>11</xdr:row>
      <xdr:rowOff>465455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74804F-6F0F-470E-B653-CCD0EAB29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1283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12</xdr:row>
      <xdr:rowOff>47625</xdr:rowOff>
    </xdr:from>
    <xdr:to>
      <xdr:col>0</xdr:col>
      <xdr:colOff>866775</xdr:colOff>
      <xdr:row>12</xdr:row>
      <xdr:rowOff>465455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7D4634C-D8EC-4738-B8CD-CB0477879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389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13</xdr:row>
      <xdr:rowOff>47625</xdr:rowOff>
    </xdr:from>
    <xdr:to>
      <xdr:col>0</xdr:col>
      <xdr:colOff>866775</xdr:colOff>
      <xdr:row>13</xdr:row>
      <xdr:rowOff>465455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96840D0-FA10-4C67-8323-741BDFABF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1494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14</xdr:row>
      <xdr:rowOff>47625</xdr:rowOff>
    </xdr:from>
    <xdr:to>
      <xdr:col>0</xdr:col>
      <xdr:colOff>866775</xdr:colOff>
      <xdr:row>14</xdr:row>
      <xdr:rowOff>465455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7E799C-A399-41AF-849E-1BAA45614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76600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15</xdr:row>
      <xdr:rowOff>47625</xdr:rowOff>
    </xdr:from>
    <xdr:to>
      <xdr:col>0</xdr:col>
      <xdr:colOff>866775</xdr:colOff>
      <xdr:row>15</xdr:row>
      <xdr:rowOff>465455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FAE65DB-4642-43AA-89A3-9ADDA790B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1705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16</xdr:row>
      <xdr:rowOff>47625</xdr:rowOff>
    </xdr:from>
    <xdr:to>
      <xdr:col>0</xdr:col>
      <xdr:colOff>866775</xdr:colOff>
      <xdr:row>16</xdr:row>
      <xdr:rowOff>465455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B95A961-6A64-4C7D-9D6B-CF7BEE238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86810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17</xdr:row>
      <xdr:rowOff>47625</xdr:rowOff>
    </xdr:from>
    <xdr:to>
      <xdr:col>0</xdr:col>
      <xdr:colOff>866775</xdr:colOff>
      <xdr:row>17</xdr:row>
      <xdr:rowOff>465455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2D0EAB2-FCEC-4253-8E6C-16AB849E6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1916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18</xdr:row>
      <xdr:rowOff>47625</xdr:rowOff>
    </xdr:from>
    <xdr:to>
      <xdr:col>0</xdr:col>
      <xdr:colOff>866775</xdr:colOff>
      <xdr:row>18</xdr:row>
      <xdr:rowOff>465455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4495436-0407-4ED4-9A24-3EC8C5D2C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7021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19</xdr:row>
      <xdr:rowOff>47625</xdr:rowOff>
    </xdr:from>
    <xdr:to>
      <xdr:col>0</xdr:col>
      <xdr:colOff>866775</xdr:colOff>
      <xdr:row>19</xdr:row>
      <xdr:rowOff>465455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69A11BE-B871-4F66-A4F9-8ACEE48B5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2127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20</xdr:row>
      <xdr:rowOff>47625</xdr:rowOff>
    </xdr:from>
    <xdr:to>
      <xdr:col>0</xdr:col>
      <xdr:colOff>866775</xdr:colOff>
      <xdr:row>20</xdr:row>
      <xdr:rowOff>465455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6B69A9E-C97F-4AFA-AAB2-FFF6D72F4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07232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21</xdr:row>
      <xdr:rowOff>47625</xdr:rowOff>
    </xdr:from>
    <xdr:to>
      <xdr:col>0</xdr:col>
      <xdr:colOff>866775</xdr:colOff>
      <xdr:row>21</xdr:row>
      <xdr:rowOff>465455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EE73919-D2A9-4F51-A93D-ACE4FDDB4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2337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22</xdr:row>
      <xdr:rowOff>47625</xdr:rowOff>
    </xdr:from>
    <xdr:to>
      <xdr:col>0</xdr:col>
      <xdr:colOff>866775</xdr:colOff>
      <xdr:row>22</xdr:row>
      <xdr:rowOff>465455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B686447-58AE-4207-82C5-B69A36F7D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7443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23</xdr:row>
      <xdr:rowOff>47625</xdr:rowOff>
    </xdr:from>
    <xdr:to>
      <xdr:col>0</xdr:col>
      <xdr:colOff>866775</xdr:colOff>
      <xdr:row>23</xdr:row>
      <xdr:rowOff>465455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C60B38E-C8A1-4DAB-BF37-E1791C132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2548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24</xdr:row>
      <xdr:rowOff>47625</xdr:rowOff>
    </xdr:from>
    <xdr:to>
      <xdr:col>0</xdr:col>
      <xdr:colOff>866775</xdr:colOff>
      <xdr:row>24</xdr:row>
      <xdr:rowOff>465455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D124187-1C7D-4FB3-B6C6-EA3408ADC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7654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25</xdr:row>
      <xdr:rowOff>47625</xdr:rowOff>
    </xdr:from>
    <xdr:to>
      <xdr:col>0</xdr:col>
      <xdr:colOff>866775</xdr:colOff>
      <xdr:row>25</xdr:row>
      <xdr:rowOff>465455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8E51A25-8D8F-40BD-A517-91497E289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2759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26</xdr:row>
      <xdr:rowOff>47625</xdr:rowOff>
    </xdr:from>
    <xdr:to>
      <xdr:col>0</xdr:col>
      <xdr:colOff>866775</xdr:colOff>
      <xdr:row>26</xdr:row>
      <xdr:rowOff>465455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FEC7AB6-5EDB-4243-A6D1-2CBA9F2A1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37864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27</xdr:row>
      <xdr:rowOff>47625</xdr:rowOff>
    </xdr:from>
    <xdr:to>
      <xdr:col>0</xdr:col>
      <xdr:colOff>866775</xdr:colOff>
      <xdr:row>27</xdr:row>
      <xdr:rowOff>465455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FD2D0D9-0B91-4501-889C-0DC7A20B6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2970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28</xdr:row>
      <xdr:rowOff>47625</xdr:rowOff>
    </xdr:from>
    <xdr:to>
      <xdr:col>0</xdr:col>
      <xdr:colOff>866775</xdr:colOff>
      <xdr:row>28</xdr:row>
      <xdr:rowOff>465455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5BF09E9-2108-446F-82B0-8411ACE45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80756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29</xdr:row>
      <xdr:rowOff>47625</xdr:rowOff>
    </xdr:from>
    <xdr:to>
      <xdr:col>0</xdr:col>
      <xdr:colOff>866775</xdr:colOff>
      <xdr:row>29</xdr:row>
      <xdr:rowOff>465455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FAC289B-5FD1-42D3-B679-ECBA30786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31810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30</xdr:row>
      <xdr:rowOff>47625</xdr:rowOff>
    </xdr:from>
    <xdr:to>
      <xdr:col>0</xdr:col>
      <xdr:colOff>866775</xdr:colOff>
      <xdr:row>30</xdr:row>
      <xdr:rowOff>465455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2EEDE3F-1A9B-41BE-A74C-FA8CC112E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82864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31</xdr:row>
      <xdr:rowOff>47625</xdr:rowOff>
    </xdr:from>
    <xdr:to>
      <xdr:col>0</xdr:col>
      <xdr:colOff>866775</xdr:colOff>
      <xdr:row>31</xdr:row>
      <xdr:rowOff>465455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B2009B0-6856-4067-ABF1-42322E405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33918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32</xdr:row>
      <xdr:rowOff>47625</xdr:rowOff>
    </xdr:from>
    <xdr:to>
      <xdr:col>0</xdr:col>
      <xdr:colOff>866775</xdr:colOff>
      <xdr:row>32</xdr:row>
      <xdr:rowOff>465455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B7FE9EE9-F348-46D7-B391-9334B97E7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849725"/>
          <a:ext cx="666750" cy="41783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33</xdr:row>
      <xdr:rowOff>47625</xdr:rowOff>
    </xdr:from>
    <xdr:to>
      <xdr:col>0</xdr:col>
      <xdr:colOff>866775</xdr:colOff>
      <xdr:row>33</xdr:row>
      <xdr:rowOff>465455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F8166A9-D1F8-46D7-9D0C-104E2398E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7360265"/>
          <a:ext cx="666750" cy="4178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Bao%20gia/GTAM_%20ducpt_%20QT%20Z%202025-2026/T10.25/2025_%20file%20thong%20ke%20QT-%20Z%20_%20ducpt_2025%202026.xlsx" TargetMode="External"/><Relationship Id="rId2" Type="http://schemas.openxmlformats.org/officeDocument/2006/relationships/externalLinkPath" Target="https://gtamtech-my.sharepoint.com/personal/int_gtam_vn/Documents/Gia%20cong/Bao%20gia/GTAM_%20ducpt_%20QT%20Z%202025-2026/T10.25/2025_%20file%20thong%20ke%20QT-%20Z%20_%20ducpt_2025%202026.xlsx" TargetMode="External"/><Relationship Id="rId1" Type="http://schemas.openxmlformats.org/officeDocument/2006/relationships/externalLinkPath" Target="/personal/int_gtam_vn/Documents/Gia%20cong/Bao%20gia/GTAM_%20ducpt_%20QT%20Z%202025-2026/T10.25/2025_%20file%20thong%20ke%20QT-%20Z%20_%20ducpt_2025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10.25"/>
      <sheetName val="T11.25"/>
      <sheetName val="T12.25"/>
      <sheetName val="T1.26"/>
      <sheetName val="T2.26"/>
      <sheetName val="T3.26"/>
      <sheetName val="T4.26"/>
      <sheetName val="ducpt trien khai"/>
      <sheetName val="Bea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7">
          <cell r="I27">
            <v>12</v>
          </cell>
        </row>
        <row r="28">
          <cell r="I28">
            <v>24</v>
          </cell>
        </row>
        <row r="29">
          <cell r="I29">
            <v>12</v>
          </cell>
        </row>
        <row r="30">
          <cell r="I30">
            <v>12</v>
          </cell>
        </row>
        <row r="31">
          <cell r="I31">
            <v>12</v>
          </cell>
        </row>
        <row r="32">
          <cell r="I32">
            <v>54</v>
          </cell>
        </row>
        <row r="33">
          <cell r="I33">
            <v>36</v>
          </cell>
        </row>
      </sheetData>
      <sheetData sheetId="8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06"/>
  <sheetViews>
    <sheetView workbookViewId="0">
      <selection activeCell="E18" sqref="E18"/>
    </sheetView>
  </sheetViews>
  <sheetFormatPr defaultRowHeight="15" x14ac:dyDescent="0.25"/>
  <cols>
    <col min="1" max="1" width="16.42578125" customWidth="1"/>
    <col min="2" max="2" width="12" customWidth="1"/>
    <col min="3" max="3" width="9.7109375" customWidth="1"/>
    <col min="4" max="4" width="32.28515625" customWidth="1"/>
    <col min="5" max="5" width="41.7109375" customWidth="1"/>
    <col min="6" max="6" width="15.85546875" customWidth="1"/>
    <col min="7" max="7" width="28.7109375" customWidth="1"/>
    <col min="8" max="8" width="19.42578125" customWidth="1"/>
    <col min="9" max="9" width="34.5703125" customWidth="1"/>
    <col min="10" max="10" width="47.140625" customWidth="1"/>
    <col min="11" max="11" width="25.7109375" customWidth="1"/>
    <col min="12" max="18" width="19.42578125" customWidth="1"/>
  </cols>
  <sheetData>
    <row r="1" spans="1:18" ht="27" thickBot="1" x14ac:dyDescent="0.45">
      <c r="A1" s="1" t="s">
        <v>90</v>
      </c>
      <c r="B1" s="2"/>
      <c r="C1" s="2"/>
      <c r="D1" s="2"/>
      <c r="H1" s="8" t="s">
        <v>234</v>
      </c>
      <c r="I1" s="8">
        <v>2</v>
      </c>
      <c r="J1" s="19">
        <f>'[1]ducpt trien khai'!$I$27</f>
        <v>12</v>
      </c>
    </row>
    <row r="2" spans="1:18" s="6" customFormat="1" ht="16.5" thickTop="1" x14ac:dyDescent="0.25">
      <c r="A2" s="5" t="s">
        <v>0</v>
      </c>
      <c r="B2" s="5" t="s">
        <v>1</v>
      </c>
      <c r="C2" s="5" t="s">
        <v>2</v>
      </c>
      <c r="D2" s="5" t="s">
        <v>484</v>
      </c>
      <c r="E2" s="5" t="s">
        <v>485</v>
      </c>
      <c r="F2" s="5" t="s">
        <v>5</v>
      </c>
      <c r="G2" s="5" t="s">
        <v>6</v>
      </c>
      <c r="H2" s="5" t="s">
        <v>233</v>
      </c>
      <c r="I2" s="9" t="s">
        <v>234</v>
      </c>
      <c r="J2" s="9"/>
      <c r="K2" s="9" t="str">
        <f>I44</f>
        <v>triển khai lần 1, sl 2</v>
      </c>
      <c r="L2" s="5" t="s">
        <v>542</v>
      </c>
      <c r="M2" s="5"/>
      <c r="N2" s="5"/>
      <c r="O2" s="5"/>
      <c r="P2" s="5"/>
      <c r="Q2" s="5"/>
      <c r="R2" s="5" t="s">
        <v>509</v>
      </c>
    </row>
    <row r="3" spans="1:18" s="4" customFormat="1" ht="66" hidden="1" customHeight="1" x14ac:dyDescent="0.25">
      <c r="A3" s="3" t="s">
        <v>7</v>
      </c>
      <c r="B3" s="13" t="s">
        <v>235</v>
      </c>
      <c r="C3" s="7" t="s">
        <v>8</v>
      </c>
      <c r="D3" s="7" t="s">
        <v>9</v>
      </c>
      <c r="E3" s="14" t="s">
        <v>486</v>
      </c>
      <c r="F3" s="7" t="s">
        <v>7</v>
      </c>
      <c r="G3" s="7" t="s">
        <v>10</v>
      </c>
      <c r="H3" s="7" t="s">
        <v>483</v>
      </c>
      <c r="I3" s="7">
        <f>C3*$I$1</f>
        <v>2</v>
      </c>
      <c r="J3" s="7">
        <f>$J$1*C3</f>
        <v>12</v>
      </c>
      <c r="K3" s="13" t="s">
        <v>535</v>
      </c>
      <c r="L3" s="7" t="s">
        <v>555</v>
      </c>
      <c r="M3" s="7" t="s">
        <v>7</v>
      </c>
      <c r="N3" s="7"/>
      <c r="O3" s="7" t="s">
        <v>7</v>
      </c>
      <c r="P3" s="7" t="s">
        <v>7</v>
      </c>
      <c r="Q3" s="7"/>
      <c r="R3" s="7" t="str">
        <f>E3</f>
        <v>TTBU250T5-100 --&gt; đổi sang C-TTBN250T5-150</v>
      </c>
    </row>
    <row r="4" spans="1:18" s="4" customFormat="1" ht="66" hidden="1" customHeight="1" x14ac:dyDescent="0.25">
      <c r="A4" s="3" t="s">
        <v>7</v>
      </c>
      <c r="B4" s="13" t="s">
        <v>236</v>
      </c>
      <c r="C4" s="7" t="s">
        <v>8</v>
      </c>
      <c r="D4" s="7" t="s">
        <v>11</v>
      </c>
      <c r="E4" s="7" t="s">
        <v>488</v>
      </c>
      <c r="F4" s="7" t="s">
        <v>7</v>
      </c>
      <c r="G4" s="7" t="s">
        <v>12</v>
      </c>
      <c r="H4" s="7" t="s">
        <v>487</v>
      </c>
      <c r="I4" s="7">
        <f t="shared" ref="I4:I41" si="0">C4*$I$1</f>
        <v>2</v>
      </c>
      <c r="J4" s="7">
        <f t="shared" ref="J4:J42" si="1">$J$1*C4</f>
        <v>12</v>
      </c>
      <c r="K4" s="7" t="s">
        <v>534</v>
      </c>
      <c r="L4" s="7" t="s">
        <v>7</v>
      </c>
      <c r="M4" s="7" t="s">
        <v>7</v>
      </c>
      <c r="N4" s="7"/>
      <c r="O4" s="7" t="s">
        <v>7</v>
      </c>
      <c r="P4" s="7" t="s">
        <v>7</v>
      </c>
      <c r="Q4" s="7"/>
      <c r="R4" s="7" t="str">
        <f t="shared" ref="R4:R42" si="2">E4</f>
        <v>SUS304, điện hóa</v>
      </c>
    </row>
    <row r="5" spans="1:18" s="4" customFormat="1" ht="66" hidden="1" customHeight="1" x14ac:dyDescent="0.25">
      <c r="A5" s="3" t="s">
        <v>7</v>
      </c>
      <c r="B5" s="13" t="s">
        <v>237</v>
      </c>
      <c r="C5" s="7" t="s">
        <v>13</v>
      </c>
      <c r="D5" s="7" t="s">
        <v>14</v>
      </c>
      <c r="E5" s="7" t="str">
        <f>E4</f>
        <v>SUS304, điện hóa</v>
      </c>
      <c r="F5" s="7" t="s">
        <v>7</v>
      </c>
      <c r="G5" s="7" t="s">
        <v>15</v>
      </c>
      <c r="H5" s="7" t="str">
        <f>H4</f>
        <v>CG</v>
      </c>
      <c r="I5" s="7">
        <f t="shared" si="0"/>
        <v>4</v>
      </c>
      <c r="J5" s="7">
        <f t="shared" si="1"/>
        <v>24</v>
      </c>
      <c r="K5" s="7" t="str">
        <f>K4</f>
        <v>đã chốt HH</v>
      </c>
      <c r="L5" s="7" t="s">
        <v>7</v>
      </c>
      <c r="M5" s="7" t="s">
        <v>7</v>
      </c>
      <c r="N5" s="7"/>
      <c r="O5" s="7" t="s">
        <v>7</v>
      </c>
      <c r="P5" s="7" t="s">
        <v>7</v>
      </c>
      <c r="Q5" s="7"/>
      <c r="R5" s="7" t="str">
        <f t="shared" si="2"/>
        <v>SUS304, điện hóa</v>
      </c>
    </row>
    <row r="6" spans="1:18" s="4" customFormat="1" ht="66" hidden="1" customHeight="1" x14ac:dyDescent="0.25">
      <c r="A6" s="3" t="s">
        <v>7</v>
      </c>
      <c r="B6" s="13" t="s">
        <v>238</v>
      </c>
      <c r="C6" s="7" t="s">
        <v>8</v>
      </c>
      <c r="D6" s="7" t="s">
        <v>16</v>
      </c>
      <c r="E6" s="7" t="str">
        <f>E5</f>
        <v>SUS304, điện hóa</v>
      </c>
      <c r="F6" s="7" t="s">
        <v>7</v>
      </c>
      <c r="G6" s="7" t="s">
        <v>17</v>
      </c>
      <c r="H6" s="7" t="str">
        <f>H5</f>
        <v>CG</v>
      </c>
      <c r="I6" s="7">
        <f t="shared" si="0"/>
        <v>2</v>
      </c>
      <c r="J6" s="7">
        <f t="shared" si="1"/>
        <v>12</v>
      </c>
      <c r="K6" s="7" t="str">
        <f>K5</f>
        <v>đã chốt HH</v>
      </c>
      <c r="L6" s="7" t="s">
        <v>7</v>
      </c>
      <c r="M6" s="7" t="s">
        <v>7</v>
      </c>
      <c r="N6" s="7"/>
      <c r="O6" s="7" t="s">
        <v>7</v>
      </c>
      <c r="P6" s="7" t="s">
        <v>7</v>
      </c>
      <c r="Q6" s="7"/>
      <c r="R6" s="7" t="str">
        <f t="shared" si="2"/>
        <v>SUS304, điện hóa</v>
      </c>
    </row>
    <row r="7" spans="1:18" s="4" customFormat="1" ht="66" hidden="1" customHeight="1" x14ac:dyDescent="0.25">
      <c r="A7" s="3" t="s">
        <v>7</v>
      </c>
      <c r="B7" s="13" t="s">
        <v>239</v>
      </c>
      <c r="C7" s="7" t="s">
        <v>8</v>
      </c>
      <c r="D7" s="7" t="s">
        <v>18</v>
      </c>
      <c r="E7" s="7" t="s">
        <v>489</v>
      </c>
      <c r="F7" s="7" t="s">
        <v>7</v>
      </c>
      <c r="G7" s="7" t="s">
        <v>19</v>
      </c>
      <c r="H7" s="7" t="s">
        <v>494</v>
      </c>
      <c r="I7" s="7">
        <f t="shared" si="0"/>
        <v>2</v>
      </c>
      <c r="J7" s="7">
        <f t="shared" si="1"/>
        <v>12</v>
      </c>
      <c r="K7" s="7" t="s">
        <v>544</v>
      </c>
      <c r="L7" s="7"/>
      <c r="M7" s="7" t="s">
        <v>7</v>
      </c>
      <c r="N7" s="7"/>
      <c r="O7" s="7" t="s">
        <v>7</v>
      </c>
      <c r="P7" s="7" t="s">
        <v>7</v>
      </c>
      <c r="Q7" s="7"/>
      <c r="R7" s="7" t="str">
        <f t="shared" si="2"/>
        <v>AL6061 anode đen</v>
      </c>
    </row>
    <row r="8" spans="1:18" s="4" customFormat="1" ht="66" hidden="1" customHeight="1" x14ac:dyDescent="0.25">
      <c r="A8" s="3" t="s">
        <v>7</v>
      </c>
      <c r="B8" s="13" t="s">
        <v>240</v>
      </c>
      <c r="C8" s="7" t="s">
        <v>8</v>
      </c>
      <c r="D8" s="7" t="s">
        <v>553</v>
      </c>
      <c r="E8" s="14" t="s">
        <v>491</v>
      </c>
      <c r="F8" s="7" t="s">
        <v>7</v>
      </c>
      <c r="G8" s="7" t="s">
        <v>21</v>
      </c>
      <c r="H8" s="7" t="s">
        <v>490</v>
      </c>
      <c r="I8" s="7">
        <f t="shared" si="0"/>
        <v>2</v>
      </c>
      <c r="J8" s="7">
        <f t="shared" si="1"/>
        <v>12</v>
      </c>
      <c r="K8" s="7" t="str">
        <f>K3</f>
        <v>đã chốt đặt, dự kiến về trước 10/4</v>
      </c>
      <c r="L8" s="7" t="s">
        <v>7</v>
      </c>
      <c r="M8" s="7" t="s">
        <v>7</v>
      </c>
      <c r="N8" s="7"/>
      <c r="O8" s="7" t="s">
        <v>7</v>
      </c>
      <c r="P8" s="7" t="s">
        <v>7</v>
      </c>
      <c r="Q8" s="7"/>
      <c r="R8" s="7" t="str">
        <f t="shared" si="2"/>
        <v>HTPA18S5M100-A-N8-FC30.0 đổi sang HTPA18S5M150-A-N8-FC30.0</v>
      </c>
    </row>
    <row r="9" spans="1:18" s="4" customFormat="1" ht="66" hidden="1" customHeight="1" x14ac:dyDescent="0.25">
      <c r="A9" s="3" t="s">
        <v>7</v>
      </c>
      <c r="B9" s="13" t="s">
        <v>241</v>
      </c>
      <c r="C9" s="7" t="s">
        <v>8</v>
      </c>
      <c r="D9" s="7" t="s">
        <v>22</v>
      </c>
      <c r="E9" s="7" t="s">
        <v>492</v>
      </c>
      <c r="F9" s="7" t="s">
        <v>7</v>
      </c>
      <c r="G9" s="7" t="s">
        <v>23</v>
      </c>
      <c r="H9" s="7" t="s">
        <v>494</v>
      </c>
      <c r="I9" s="7">
        <f t="shared" si="0"/>
        <v>2</v>
      </c>
      <c r="J9" s="7">
        <f t="shared" si="1"/>
        <v>12</v>
      </c>
      <c r="K9" s="7" t="s">
        <v>543</v>
      </c>
      <c r="L9" s="7"/>
      <c r="M9" s="7" t="s">
        <v>7</v>
      </c>
      <c r="N9" s="7"/>
      <c r="O9" s="7" t="s">
        <v>7</v>
      </c>
      <c r="P9" s="7" t="s">
        <v>7</v>
      </c>
      <c r="Q9" s="7"/>
      <c r="R9" s="7" t="str">
        <f t="shared" si="2"/>
        <v>PB108</v>
      </c>
    </row>
    <row r="10" spans="1:18" s="4" customFormat="1" ht="66" hidden="1" customHeight="1" x14ac:dyDescent="0.25">
      <c r="A10" s="3" t="s">
        <v>7</v>
      </c>
      <c r="B10" s="13" t="s">
        <v>242</v>
      </c>
      <c r="C10" s="7" t="s">
        <v>8</v>
      </c>
      <c r="D10" s="7" t="s">
        <v>24</v>
      </c>
      <c r="E10" s="7" t="str">
        <f>E9</f>
        <v>PB108</v>
      </c>
      <c r="F10" s="7" t="s">
        <v>7</v>
      </c>
      <c r="G10" s="7" t="s">
        <v>23</v>
      </c>
      <c r="H10" s="7" t="str">
        <f>H9</f>
        <v>GTAM</v>
      </c>
      <c r="I10" s="7">
        <f t="shared" si="0"/>
        <v>2</v>
      </c>
      <c r="J10" s="7">
        <f t="shared" si="1"/>
        <v>12</v>
      </c>
      <c r="K10" s="7" t="str">
        <f>K9</f>
        <v>9/4 đã xong</v>
      </c>
      <c r="L10" s="7"/>
      <c r="M10" s="7" t="s">
        <v>7</v>
      </c>
      <c r="N10" s="7"/>
      <c r="O10" s="7" t="s">
        <v>7</v>
      </c>
      <c r="P10" s="7" t="s">
        <v>7</v>
      </c>
      <c r="Q10" s="7"/>
      <c r="R10" s="7" t="str">
        <f t="shared" si="2"/>
        <v>PB108</v>
      </c>
    </row>
    <row r="11" spans="1:18" s="4" customFormat="1" ht="66" hidden="1" customHeight="1" x14ac:dyDescent="0.25">
      <c r="A11" s="3" t="s">
        <v>7</v>
      </c>
      <c r="B11" s="13" t="s">
        <v>243</v>
      </c>
      <c r="C11" s="7" t="s">
        <v>13</v>
      </c>
      <c r="D11" s="7" t="s">
        <v>25</v>
      </c>
      <c r="E11" s="7" t="str">
        <f>E10</f>
        <v>PB108</v>
      </c>
      <c r="F11" s="7" t="s">
        <v>7</v>
      </c>
      <c r="G11" s="7" t="s">
        <v>26</v>
      </c>
      <c r="H11" s="7" t="str">
        <f>H10</f>
        <v>GTAM</v>
      </c>
      <c r="I11" s="7">
        <f t="shared" si="0"/>
        <v>4</v>
      </c>
      <c r="J11" s="7">
        <f t="shared" si="1"/>
        <v>24</v>
      </c>
      <c r="K11" s="7" t="str">
        <f>K10</f>
        <v>9/4 đã xong</v>
      </c>
      <c r="L11" s="7"/>
      <c r="M11" s="7" t="s">
        <v>7</v>
      </c>
      <c r="N11" s="7"/>
      <c r="O11" s="7" t="s">
        <v>7</v>
      </c>
      <c r="P11" s="7" t="s">
        <v>7</v>
      </c>
      <c r="Q11" s="7"/>
      <c r="R11" s="7" t="str">
        <f t="shared" si="2"/>
        <v>PB108</v>
      </c>
    </row>
    <row r="12" spans="1:18" s="4" customFormat="1" ht="66" hidden="1" customHeight="1" x14ac:dyDescent="0.25">
      <c r="A12" s="3" t="s">
        <v>7</v>
      </c>
      <c r="B12" s="13" t="s">
        <v>244</v>
      </c>
      <c r="C12" s="7" t="s">
        <v>13</v>
      </c>
      <c r="D12" s="7" t="s">
        <v>27</v>
      </c>
      <c r="E12" s="13" t="s">
        <v>522</v>
      </c>
      <c r="F12" s="7" t="s">
        <v>7</v>
      </c>
      <c r="G12" s="7" t="s">
        <v>28</v>
      </c>
      <c r="H12" s="7" t="s">
        <v>493</v>
      </c>
      <c r="I12" s="7">
        <f t="shared" si="0"/>
        <v>4</v>
      </c>
      <c r="J12" s="7">
        <f t="shared" si="1"/>
        <v>24</v>
      </c>
      <c r="K12" s="7" t="s">
        <v>541</v>
      </c>
      <c r="L12" s="7" t="s">
        <v>559</v>
      </c>
      <c r="M12" s="7" t="s">
        <v>7</v>
      </c>
      <c r="N12" s="7"/>
      <c r="O12" s="7" t="s">
        <v>7</v>
      </c>
      <c r="P12" s="7" t="s">
        <v>7</v>
      </c>
      <c r="Q12" s="7"/>
      <c r="R12" s="7" t="str">
        <f t="shared" si="2"/>
        <v>belt PU đen, chống tĩnh điện, ép viền chống xước, dày 1.5mm, bản rộng 20mm, chu vi 890mm( đo mép trong 895mm, chốt cân chỉnh đang ở giữa )</v>
      </c>
    </row>
    <row r="13" spans="1:18" s="4" customFormat="1" ht="66" hidden="1" customHeight="1" x14ac:dyDescent="0.25">
      <c r="A13" s="3" t="s">
        <v>7</v>
      </c>
      <c r="B13" s="13" t="s">
        <v>245</v>
      </c>
      <c r="C13" s="7" t="s">
        <v>8</v>
      </c>
      <c r="D13" s="7" t="s">
        <v>29</v>
      </c>
      <c r="E13" s="7" t="str">
        <f>E7</f>
        <v>AL6061 anode đen</v>
      </c>
      <c r="F13" s="7" t="s">
        <v>7</v>
      </c>
      <c r="G13" s="7" t="s">
        <v>30</v>
      </c>
      <c r="H13" s="7" t="str">
        <f>H11</f>
        <v>GTAM</v>
      </c>
      <c r="I13" s="7">
        <f t="shared" si="0"/>
        <v>2</v>
      </c>
      <c r="J13" s="7">
        <f t="shared" si="1"/>
        <v>12</v>
      </c>
      <c r="K13" s="7" t="str">
        <f>K11</f>
        <v>9/4 đã xong</v>
      </c>
      <c r="L13" s="7"/>
      <c r="M13" s="7" t="s">
        <v>7</v>
      </c>
      <c r="N13" s="7"/>
      <c r="O13" s="7" t="s">
        <v>7</v>
      </c>
      <c r="P13" s="7" t="s">
        <v>7</v>
      </c>
      <c r="Q13" s="7"/>
      <c r="R13" s="7" t="str">
        <f t="shared" si="2"/>
        <v>AL6061 anode đen</v>
      </c>
    </row>
    <row r="14" spans="1:18" s="4" customFormat="1" ht="66" hidden="1" customHeight="1" x14ac:dyDescent="0.25">
      <c r="A14" s="3" t="s">
        <v>7</v>
      </c>
      <c r="B14" s="13" t="s">
        <v>246</v>
      </c>
      <c r="C14" s="7" t="s">
        <v>8</v>
      </c>
      <c r="D14" s="7" t="s">
        <v>31</v>
      </c>
      <c r="E14" s="7" t="str">
        <f>E13</f>
        <v>AL6061 anode đen</v>
      </c>
      <c r="F14" s="7" t="s">
        <v>7</v>
      </c>
      <c r="G14" s="7" t="s">
        <v>30</v>
      </c>
      <c r="H14" s="7" t="str">
        <f>H13</f>
        <v>GTAM</v>
      </c>
      <c r="I14" s="7">
        <f t="shared" si="0"/>
        <v>2</v>
      </c>
      <c r="J14" s="7">
        <f t="shared" si="1"/>
        <v>12</v>
      </c>
      <c r="K14" s="7" t="str">
        <f>K13</f>
        <v>9/4 đã xong</v>
      </c>
      <c r="L14" s="7"/>
      <c r="M14" s="7" t="s">
        <v>7</v>
      </c>
      <c r="N14" s="7"/>
      <c r="O14" s="7" t="s">
        <v>7</v>
      </c>
      <c r="P14" s="7" t="s">
        <v>7</v>
      </c>
      <c r="Q14" s="7"/>
      <c r="R14" s="7" t="str">
        <f t="shared" si="2"/>
        <v>AL6061 anode đen</v>
      </c>
    </row>
    <row r="15" spans="1:18" s="4" customFormat="1" ht="66" hidden="1" customHeight="1" x14ac:dyDescent="0.25">
      <c r="A15" s="3" t="s">
        <v>7</v>
      </c>
      <c r="B15" s="13" t="s">
        <v>247</v>
      </c>
      <c r="C15" s="7" t="s">
        <v>8</v>
      </c>
      <c r="D15" s="7" t="s">
        <v>32</v>
      </c>
      <c r="E15" s="7" t="str">
        <f>E14</f>
        <v>AL6061 anode đen</v>
      </c>
      <c r="F15" s="7" t="s">
        <v>7</v>
      </c>
      <c r="G15" s="7" t="s">
        <v>33</v>
      </c>
      <c r="H15" s="7" t="str">
        <f>H14</f>
        <v>GTAM</v>
      </c>
      <c r="I15" s="7">
        <f t="shared" si="0"/>
        <v>2</v>
      </c>
      <c r="J15" s="7">
        <f t="shared" si="1"/>
        <v>12</v>
      </c>
      <c r="K15" s="7" t="str">
        <f>K14</f>
        <v>9/4 đã xong</v>
      </c>
      <c r="L15" s="7"/>
      <c r="M15" s="7" t="s">
        <v>7</v>
      </c>
      <c r="N15" s="7"/>
      <c r="O15" s="7" t="s">
        <v>7</v>
      </c>
      <c r="P15" s="7" t="s">
        <v>7</v>
      </c>
      <c r="Q15" s="7"/>
      <c r="R15" s="7" t="str">
        <f t="shared" si="2"/>
        <v>AL6061 anode đen</v>
      </c>
    </row>
    <row r="16" spans="1:18" s="4" customFormat="1" ht="66" hidden="1" customHeight="1" x14ac:dyDescent="0.25">
      <c r="A16" s="3" t="s">
        <v>7</v>
      </c>
      <c r="B16" s="13" t="s">
        <v>248</v>
      </c>
      <c r="C16" s="7" t="s">
        <v>8</v>
      </c>
      <c r="D16" s="7" t="s">
        <v>34</v>
      </c>
      <c r="E16" s="7" t="str">
        <f>E15</f>
        <v>AL6061 anode đen</v>
      </c>
      <c r="F16" s="7" t="s">
        <v>7</v>
      </c>
      <c r="G16" s="7" t="s">
        <v>35</v>
      </c>
      <c r="H16" s="7" t="str">
        <f>H15</f>
        <v>GTAM</v>
      </c>
      <c r="I16" s="7">
        <f t="shared" si="0"/>
        <v>2</v>
      </c>
      <c r="J16" s="7">
        <f t="shared" si="1"/>
        <v>12</v>
      </c>
      <c r="K16" s="7" t="str">
        <f>K15</f>
        <v>9/4 đã xong</v>
      </c>
      <c r="L16" s="7"/>
      <c r="M16" s="7" t="s">
        <v>7</v>
      </c>
      <c r="N16" s="7"/>
      <c r="O16" s="7" t="s">
        <v>7</v>
      </c>
      <c r="P16" s="7" t="s">
        <v>7</v>
      </c>
      <c r="Q16" s="7"/>
      <c r="R16" s="7" t="str">
        <f t="shared" si="2"/>
        <v>AL6061 anode đen</v>
      </c>
    </row>
    <row r="17" spans="1:18" s="4" customFormat="1" ht="66" hidden="1" customHeight="1" x14ac:dyDescent="0.25">
      <c r="A17" s="3" t="s">
        <v>7</v>
      </c>
      <c r="B17" s="13" t="s">
        <v>249</v>
      </c>
      <c r="C17" s="7" t="s">
        <v>8</v>
      </c>
      <c r="D17" s="7" t="s">
        <v>36</v>
      </c>
      <c r="E17" s="7" t="str">
        <f>E16</f>
        <v>AL6061 anode đen</v>
      </c>
      <c r="F17" s="7" t="s">
        <v>7</v>
      </c>
      <c r="G17" s="7" t="s">
        <v>37</v>
      </c>
      <c r="H17" s="7" t="str">
        <f>H16</f>
        <v>GTAM</v>
      </c>
      <c r="I17" s="7">
        <f t="shared" si="0"/>
        <v>2</v>
      </c>
      <c r="J17" s="7">
        <f t="shared" si="1"/>
        <v>12</v>
      </c>
      <c r="K17" s="7" t="str">
        <f>K16</f>
        <v>9/4 đã xong</v>
      </c>
      <c r="L17" s="7"/>
      <c r="M17" s="7" t="s">
        <v>7</v>
      </c>
      <c r="N17" s="7"/>
      <c r="O17" s="7" t="s">
        <v>7</v>
      </c>
      <c r="P17" s="7" t="s">
        <v>7</v>
      </c>
      <c r="Q17" s="7"/>
      <c r="R17" s="7" t="str">
        <f t="shared" si="2"/>
        <v>AL6061 anode đen</v>
      </c>
    </row>
    <row r="18" spans="1:18" s="4" customFormat="1" ht="66" customHeight="1" x14ac:dyDescent="0.25">
      <c r="A18" s="3" t="s">
        <v>7</v>
      </c>
      <c r="B18" s="13" t="s">
        <v>250</v>
      </c>
      <c r="C18" s="7" t="s">
        <v>8</v>
      </c>
      <c r="D18" s="7" t="s">
        <v>38</v>
      </c>
      <c r="E18" s="7" t="s">
        <v>495</v>
      </c>
      <c r="F18" s="7" t="s">
        <v>7</v>
      </c>
      <c r="G18" s="7" t="s">
        <v>39</v>
      </c>
      <c r="H18" s="7" t="s">
        <v>496</v>
      </c>
      <c r="I18" s="7">
        <f t="shared" si="0"/>
        <v>2</v>
      </c>
      <c r="J18" s="7">
        <f t="shared" si="1"/>
        <v>12</v>
      </c>
      <c r="K18" s="13" t="s">
        <v>533</v>
      </c>
      <c r="L18" s="7" t="s">
        <v>7</v>
      </c>
      <c r="M18" s="7" t="s">
        <v>7</v>
      </c>
      <c r="N18" s="7"/>
      <c r="O18" s="7" t="s">
        <v>7</v>
      </c>
      <c r="P18" s="7" t="s">
        <v>7</v>
      </c>
      <c r="Q18" s="7"/>
      <c r="R18" s="7" t="str">
        <f t="shared" si="2"/>
        <v>S6I06GX-12CE và bộ đk tốc độ SUA06IX-V12</v>
      </c>
    </row>
    <row r="19" spans="1:18" s="4" customFormat="1" ht="66" customHeight="1" x14ac:dyDescent="0.25">
      <c r="A19" s="3" t="s">
        <v>7</v>
      </c>
      <c r="B19" s="13" t="s">
        <v>251</v>
      </c>
      <c r="C19" s="7" t="s">
        <v>8</v>
      </c>
      <c r="D19" s="7" t="s">
        <v>40</v>
      </c>
      <c r="E19" s="7" t="s">
        <v>525</v>
      </c>
      <c r="F19" s="7" t="s">
        <v>7</v>
      </c>
      <c r="G19" s="7" t="s">
        <v>41</v>
      </c>
      <c r="H19" s="7" t="str">
        <f>H18</f>
        <v>SPG</v>
      </c>
      <c r="I19" s="7">
        <f t="shared" si="0"/>
        <v>2</v>
      </c>
      <c r="J19" s="7">
        <f t="shared" si="1"/>
        <v>12</v>
      </c>
      <c r="K19" s="7" t="str">
        <f>K18</f>
        <v>NG báo đã nhận 27 set, đủ lô 7CV</v>
      </c>
      <c r="L19" s="7" t="s">
        <v>7</v>
      </c>
      <c r="M19" s="7" t="s">
        <v>7</v>
      </c>
      <c r="N19" s="7"/>
      <c r="O19" s="7" t="s">
        <v>7</v>
      </c>
      <c r="P19" s="7" t="s">
        <v>7</v>
      </c>
      <c r="Q19" s="7"/>
      <c r="R19" s="7" t="str">
        <f t="shared" si="2"/>
        <v>hộp số S6KA15B</v>
      </c>
    </row>
    <row r="20" spans="1:18" s="4" customFormat="1" ht="66" hidden="1" customHeight="1" x14ac:dyDescent="0.25">
      <c r="A20" s="3" t="s">
        <v>7</v>
      </c>
      <c r="B20" s="13" t="s">
        <v>252</v>
      </c>
      <c r="C20" s="7" t="s">
        <v>8</v>
      </c>
      <c r="D20" s="7" t="s">
        <v>42</v>
      </c>
      <c r="E20" s="7" t="s">
        <v>497</v>
      </c>
      <c r="F20" s="7" t="s">
        <v>7</v>
      </c>
      <c r="G20" s="7" t="s">
        <v>43</v>
      </c>
      <c r="H20" s="7" t="s">
        <v>503</v>
      </c>
      <c r="I20" s="7">
        <f t="shared" si="0"/>
        <v>2</v>
      </c>
      <c r="J20" s="7">
        <f t="shared" si="1"/>
        <v>12</v>
      </c>
      <c r="K20" s="7" t="s">
        <v>529</v>
      </c>
      <c r="L20" s="7" t="s">
        <v>7</v>
      </c>
      <c r="M20" s="7" t="s">
        <v>7</v>
      </c>
      <c r="N20" s="7"/>
      <c r="O20" s="7" t="s">
        <v>7</v>
      </c>
      <c r="P20" s="7" t="s">
        <v>7</v>
      </c>
      <c r="Q20" s="7"/>
      <c r="R20" s="7" t="str">
        <f t="shared" si="2"/>
        <v>Chốt cài KES-12</v>
      </c>
    </row>
    <row r="21" spans="1:18" s="4" customFormat="1" ht="66" hidden="1" customHeight="1" x14ac:dyDescent="0.25">
      <c r="A21" s="3" t="s">
        <v>7</v>
      </c>
      <c r="B21" s="13" t="s">
        <v>253</v>
      </c>
      <c r="C21" s="7" t="s">
        <v>8</v>
      </c>
      <c r="D21" s="7" t="s">
        <v>44</v>
      </c>
      <c r="E21" s="7" t="str">
        <f>E17</f>
        <v>AL6061 anode đen</v>
      </c>
      <c r="F21" s="7" t="s">
        <v>7</v>
      </c>
      <c r="G21" s="7" t="s">
        <v>45</v>
      </c>
      <c r="H21" s="7" t="str">
        <f>H17</f>
        <v>GTAM</v>
      </c>
      <c r="I21" s="7">
        <f t="shared" si="0"/>
        <v>2</v>
      </c>
      <c r="J21" s="7">
        <f t="shared" si="1"/>
        <v>12</v>
      </c>
      <c r="K21" s="7" t="str">
        <f>K17</f>
        <v>9/4 đã xong</v>
      </c>
      <c r="L21" s="7"/>
      <c r="M21" s="7" t="s">
        <v>7</v>
      </c>
      <c r="N21" s="7"/>
      <c r="O21" s="7" t="s">
        <v>7</v>
      </c>
      <c r="P21" s="7" t="s">
        <v>7</v>
      </c>
      <c r="Q21" s="7"/>
      <c r="R21" s="7" t="str">
        <f t="shared" si="2"/>
        <v>AL6061 anode đen</v>
      </c>
    </row>
    <row r="22" spans="1:18" s="4" customFormat="1" ht="66" hidden="1" customHeight="1" x14ac:dyDescent="0.25">
      <c r="A22" s="3" t="s">
        <v>7</v>
      </c>
      <c r="B22" s="13" t="s">
        <v>254</v>
      </c>
      <c r="C22" s="7" t="s">
        <v>8</v>
      </c>
      <c r="D22" s="7" t="s">
        <v>46</v>
      </c>
      <c r="E22" s="7" t="str">
        <f>E21</f>
        <v>AL6061 anode đen</v>
      </c>
      <c r="F22" s="7" t="s">
        <v>7</v>
      </c>
      <c r="G22" s="7" t="s">
        <v>47</v>
      </c>
      <c r="H22" s="7" t="str">
        <f>H21</f>
        <v>GTAM</v>
      </c>
      <c r="I22" s="7">
        <f t="shared" si="0"/>
        <v>2</v>
      </c>
      <c r="J22" s="7">
        <f t="shared" si="1"/>
        <v>12</v>
      </c>
      <c r="K22" s="7" t="str">
        <f>K21</f>
        <v>9/4 đã xong</v>
      </c>
      <c r="L22" s="7"/>
      <c r="M22" s="7" t="s">
        <v>7</v>
      </c>
      <c r="N22" s="7"/>
      <c r="O22" s="7" t="s">
        <v>7</v>
      </c>
      <c r="P22" s="7" t="s">
        <v>7</v>
      </c>
      <c r="Q22" s="7"/>
      <c r="R22" s="7" t="str">
        <f t="shared" si="2"/>
        <v>AL6061 anode đen</v>
      </c>
    </row>
    <row r="23" spans="1:18" s="4" customFormat="1" ht="66" hidden="1" customHeight="1" x14ac:dyDescent="0.25">
      <c r="A23" s="3" t="s">
        <v>7</v>
      </c>
      <c r="B23" s="13" t="s">
        <v>255</v>
      </c>
      <c r="C23" s="7" t="s">
        <v>8</v>
      </c>
      <c r="D23" s="7" t="s">
        <v>48</v>
      </c>
      <c r="E23" s="7" t="s">
        <v>498</v>
      </c>
      <c r="F23" s="7" t="s">
        <v>7</v>
      </c>
      <c r="G23" s="7" t="s">
        <v>37</v>
      </c>
      <c r="H23" s="7" t="str">
        <f>H22</f>
        <v>GTAM</v>
      </c>
      <c r="I23" s="7">
        <f t="shared" si="0"/>
        <v>2</v>
      </c>
      <c r="J23" s="7">
        <f t="shared" si="1"/>
        <v>12</v>
      </c>
      <c r="K23" s="7" t="str">
        <f>K22</f>
        <v>9/4 đã xong</v>
      </c>
      <c r="L23" s="7"/>
      <c r="M23" s="7" t="s">
        <v>7</v>
      </c>
      <c r="N23" s="7"/>
      <c r="O23" s="7" t="s">
        <v>7</v>
      </c>
      <c r="P23" s="7" t="s">
        <v>7</v>
      </c>
      <c r="Q23" s="7"/>
      <c r="R23" s="7" t="str">
        <f t="shared" si="2"/>
        <v>Urethan</v>
      </c>
    </row>
    <row r="24" spans="1:18" s="4" customFormat="1" ht="66" hidden="1" customHeight="1" x14ac:dyDescent="0.25">
      <c r="A24" s="3" t="s">
        <v>7</v>
      </c>
      <c r="B24" s="13" t="s">
        <v>256</v>
      </c>
      <c r="C24" s="7" t="s">
        <v>49</v>
      </c>
      <c r="D24" s="7" t="s">
        <v>50</v>
      </c>
      <c r="E24" s="7" t="s">
        <v>500</v>
      </c>
      <c r="F24" s="7" t="s">
        <v>7</v>
      </c>
      <c r="G24" s="7" t="s">
        <v>51</v>
      </c>
      <c r="H24" s="7" t="s">
        <v>550</v>
      </c>
      <c r="I24" s="7">
        <f t="shared" si="0"/>
        <v>8</v>
      </c>
      <c r="J24" s="7">
        <f t="shared" si="1"/>
        <v>48</v>
      </c>
      <c r="K24" s="7" t="s">
        <v>551</v>
      </c>
      <c r="L24" s="7" t="s">
        <v>552</v>
      </c>
      <c r="M24" s="7" t="s">
        <v>7</v>
      </c>
      <c r="N24" s="7"/>
      <c r="O24" s="7" t="s">
        <v>7</v>
      </c>
      <c r="P24" s="7" t="s">
        <v>7</v>
      </c>
      <c r="Q24" s="7"/>
      <c r="R24" s="7" t="str">
        <f t="shared" si="2"/>
        <v>Rulo</v>
      </c>
    </row>
    <row r="25" spans="1:18" s="4" customFormat="1" ht="66" hidden="1" customHeight="1" x14ac:dyDescent="0.25">
      <c r="A25" s="3" t="s">
        <v>7</v>
      </c>
      <c r="B25" s="13" t="s">
        <v>257</v>
      </c>
      <c r="C25" s="7" t="s">
        <v>52</v>
      </c>
      <c r="D25" s="7" t="s">
        <v>53</v>
      </c>
      <c r="E25" s="13" t="s">
        <v>523</v>
      </c>
      <c r="F25" s="7" t="s">
        <v>7</v>
      </c>
      <c r="G25" s="7" t="s">
        <v>54</v>
      </c>
      <c r="H25" s="7" t="s">
        <v>527</v>
      </c>
      <c r="I25" s="7">
        <f t="shared" si="0"/>
        <v>32</v>
      </c>
      <c r="J25" s="7">
        <f t="shared" si="1"/>
        <v>192</v>
      </c>
      <c r="K25" s="7" t="s">
        <v>538</v>
      </c>
      <c r="L25" s="7" t="s">
        <v>557</v>
      </c>
      <c r="M25" s="7" t="s">
        <v>7</v>
      </c>
      <c r="N25" s="7"/>
      <c r="O25" s="7" t="s">
        <v>7</v>
      </c>
      <c r="P25" s="7" t="s">
        <v>7</v>
      </c>
      <c r="Q25" s="7"/>
      <c r="R25" s="7" t="str">
        <f t="shared" si="2"/>
        <v>Vòng bi SB688ZZ --&gt; đổi sang C-SE688ZZ</v>
      </c>
    </row>
    <row r="26" spans="1:18" s="4" customFormat="1" ht="66" hidden="1" customHeight="1" x14ac:dyDescent="0.25">
      <c r="A26" s="3" t="s">
        <v>7</v>
      </c>
      <c r="B26" s="13" t="s">
        <v>258</v>
      </c>
      <c r="C26" s="7" t="s">
        <v>13</v>
      </c>
      <c r="D26" s="7" t="s">
        <v>55</v>
      </c>
      <c r="E26" s="7" t="s">
        <v>488</v>
      </c>
      <c r="F26" s="7" t="s">
        <v>7</v>
      </c>
      <c r="G26" s="7" t="s">
        <v>56</v>
      </c>
      <c r="H26" s="7" t="str">
        <f>H24</f>
        <v>TT</v>
      </c>
      <c r="I26" s="7">
        <f t="shared" si="0"/>
        <v>4</v>
      </c>
      <c r="J26" s="7">
        <f t="shared" si="1"/>
        <v>24</v>
      </c>
      <c r="K26" s="7" t="str">
        <f>K24</f>
        <v>đã giao lô đầu 30 set</v>
      </c>
      <c r="L26" s="7" t="str">
        <f>L24</f>
        <v>9/4 nhận 159 bộ, thiếu rulo chủ động giao sau</v>
      </c>
      <c r="M26" s="7" t="s">
        <v>7</v>
      </c>
      <c r="N26" s="7"/>
      <c r="O26" s="7" t="s">
        <v>7</v>
      </c>
      <c r="P26" s="7" t="s">
        <v>7</v>
      </c>
      <c r="Q26" s="7"/>
      <c r="R26" s="7" t="str">
        <f t="shared" si="2"/>
        <v>SUS304, điện hóa</v>
      </c>
    </row>
    <row r="27" spans="1:18" s="4" customFormat="1" ht="66" hidden="1" customHeight="1" x14ac:dyDescent="0.25">
      <c r="A27" s="3" t="s">
        <v>7</v>
      </c>
      <c r="B27" s="13" t="s">
        <v>259</v>
      </c>
      <c r="C27" s="7" t="s">
        <v>57</v>
      </c>
      <c r="D27" s="7" t="s">
        <v>58</v>
      </c>
      <c r="E27" s="7" t="s">
        <v>502</v>
      </c>
      <c r="F27" s="7" t="s">
        <v>7</v>
      </c>
      <c r="G27" s="7" t="s">
        <v>59</v>
      </c>
      <c r="H27" s="7" t="s">
        <v>501</v>
      </c>
      <c r="I27" s="7">
        <f t="shared" si="0"/>
        <v>16</v>
      </c>
      <c r="J27" s="7">
        <f t="shared" si="1"/>
        <v>96</v>
      </c>
      <c r="K27" s="7" t="s">
        <v>530</v>
      </c>
      <c r="L27" s="7" t="s">
        <v>7</v>
      </c>
      <c r="M27" s="7" t="s">
        <v>7</v>
      </c>
      <c r="N27" s="7"/>
      <c r="O27" s="7" t="s">
        <v>7</v>
      </c>
      <c r="P27" s="7" t="s">
        <v>7</v>
      </c>
      <c r="Q27" s="7"/>
      <c r="R27" s="7" t="str">
        <f t="shared" si="2"/>
        <v>Phanh trục STWN8</v>
      </c>
    </row>
    <row r="28" spans="1:18" s="4" customFormat="1" ht="66" hidden="1" customHeight="1" x14ac:dyDescent="0.25">
      <c r="A28" s="3" t="s">
        <v>7</v>
      </c>
      <c r="B28" s="13" t="s">
        <v>260</v>
      </c>
      <c r="C28" s="7" t="s">
        <v>49</v>
      </c>
      <c r="D28" s="7" t="s">
        <v>60</v>
      </c>
      <c r="E28" s="7" t="s">
        <v>500</v>
      </c>
      <c r="F28" s="7" t="s">
        <v>7</v>
      </c>
      <c r="G28" s="7" t="s">
        <v>61</v>
      </c>
      <c r="H28" s="7" t="str">
        <f>H24</f>
        <v>TT</v>
      </c>
      <c r="I28" s="7">
        <f t="shared" si="0"/>
        <v>8</v>
      </c>
      <c r="J28" s="7">
        <f t="shared" si="1"/>
        <v>48</v>
      </c>
      <c r="K28" s="7" t="str">
        <f>K24</f>
        <v>đã giao lô đầu 30 set</v>
      </c>
      <c r="L28" s="7" t="str">
        <f>L26</f>
        <v>9/4 nhận 159 bộ, thiếu rulo chủ động giao sau</v>
      </c>
      <c r="M28" s="7" t="s">
        <v>7</v>
      </c>
      <c r="N28" s="7"/>
      <c r="O28" s="7" t="s">
        <v>7</v>
      </c>
      <c r="P28" s="7" t="s">
        <v>7</v>
      </c>
      <c r="Q28" s="7"/>
      <c r="R28" s="7" t="str">
        <f t="shared" si="2"/>
        <v>Rulo</v>
      </c>
    </row>
    <row r="29" spans="1:18" s="4" customFormat="1" ht="66" hidden="1" customHeight="1" x14ac:dyDescent="0.25">
      <c r="A29" s="3" t="s">
        <v>7</v>
      </c>
      <c r="B29" s="13" t="s">
        <v>261</v>
      </c>
      <c r="C29" s="7" t="s">
        <v>49</v>
      </c>
      <c r="D29" s="7" t="s">
        <v>62</v>
      </c>
      <c r="E29" s="7" t="str">
        <f>E26</f>
        <v>SUS304, điện hóa</v>
      </c>
      <c r="F29" s="7" t="s">
        <v>7</v>
      </c>
      <c r="G29" s="7" t="s">
        <v>63</v>
      </c>
      <c r="H29" s="7" t="str">
        <f>H26</f>
        <v>TT</v>
      </c>
      <c r="I29" s="7">
        <f t="shared" si="0"/>
        <v>8</v>
      </c>
      <c r="J29" s="7">
        <f t="shared" si="1"/>
        <v>48</v>
      </c>
      <c r="K29" s="7" t="str">
        <f>K28</f>
        <v>đã giao lô đầu 30 set</v>
      </c>
      <c r="L29" s="7" t="str">
        <f>L28</f>
        <v>9/4 nhận 159 bộ, thiếu rulo chủ động giao sau</v>
      </c>
      <c r="M29" s="7" t="s">
        <v>7</v>
      </c>
      <c r="N29" s="7"/>
      <c r="O29" s="7" t="s">
        <v>7</v>
      </c>
      <c r="P29" s="7" t="s">
        <v>7</v>
      </c>
      <c r="Q29" s="7"/>
      <c r="R29" s="7" t="str">
        <f t="shared" si="2"/>
        <v>SUS304, điện hóa</v>
      </c>
    </row>
    <row r="30" spans="1:18" s="4" customFormat="1" ht="66" hidden="1" customHeight="1" x14ac:dyDescent="0.25">
      <c r="A30" s="3" t="s">
        <v>7</v>
      </c>
      <c r="B30" s="13" t="s">
        <v>262</v>
      </c>
      <c r="C30" s="7" t="s">
        <v>8</v>
      </c>
      <c r="D30" s="7" t="s">
        <v>64</v>
      </c>
      <c r="E30" s="7" t="s">
        <v>504</v>
      </c>
      <c r="F30" s="7" t="s">
        <v>7</v>
      </c>
      <c r="G30" s="7" t="s">
        <v>65</v>
      </c>
      <c r="H30" s="7" t="str">
        <f>H28</f>
        <v>TT</v>
      </c>
      <c r="I30" s="7">
        <f t="shared" si="0"/>
        <v>2</v>
      </c>
      <c r="J30" s="7">
        <f t="shared" si="1"/>
        <v>12</v>
      </c>
      <c r="K30" s="7" t="str">
        <f>K28</f>
        <v>đã giao lô đầu 30 set</v>
      </c>
      <c r="L30" s="7" t="str">
        <f>L29</f>
        <v>9/4 nhận 159 bộ, thiếu rulo chủ động giao sau</v>
      </c>
      <c r="M30" s="7" t="s">
        <v>7</v>
      </c>
      <c r="N30" s="7"/>
      <c r="O30" s="7" t="s">
        <v>7</v>
      </c>
      <c r="P30" s="7" t="s">
        <v>7</v>
      </c>
      <c r="Q30" s="7"/>
      <c r="R30" s="7" t="str">
        <f t="shared" si="2"/>
        <v>Trục</v>
      </c>
    </row>
    <row r="31" spans="1:18" s="4" customFormat="1" ht="66" hidden="1" customHeight="1" x14ac:dyDescent="0.25">
      <c r="A31" s="3" t="s">
        <v>7</v>
      </c>
      <c r="B31" s="13" t="s">
        <v>263</v>
      </c>
      <c r="C31" s="7" t="s">
        <v>13</v>
      </c>
      <c r="D31" s="7" t="s">
        <v>66</v>
      </c>
      <c r="E31" s="7" t="s">
        <v>500</v>
      </c>
      <c r="F31" s="7" t="s">
        <v>7</v>
      </c>
      <c r="G31" s="7" t="s">
        <v>67</v>
      </c>
      <c r="H31" s="7" t="str">
        <f>H30</f>
        <v>TT</v>
      </c>
      <c r="I31" s="7">
        <f t="shared" si="0"/>
        <v>4</v>
      </c>
      <c r="J31" s="7">
        <f t="shared" si="1"/>
        <v>24</v>
      </c>
      <c r="K31" s="7" t="str">
        <f>K30</f>
        <v>đã giao lô đầu 30 set</v>
      </c>
      <c r="L31" s="7" t="str">
        <f>L30</f>
        <v>9/4 nhận 159 bộ, thiếu rulo chủ động giao sau</v>
      </c>
      <c r="M31" s="7" t="s">
        <v>7</v>
      </c>
      <c r="N31" s="7"/>
      <c r="O31" s="7" t="s">
        <v>7</v>
      </c>
      <c r="P31" s="7" t="s">
        <v>7</v>
      </c>
      <c r="Q31" s="7"/>
      <c r="R31" s="7" t="str">
        <f t="shared" si="2"/>
        <v>Rulo</v>
      </c>
    </row>
    <row r="32" spans="1:18" s="4" customFormat="1" ht="66" hidden="1" customHeight="1" x14ac:dyDescent="0.25">
      <c r="A32" s="3" t="s">
        <v>7</v>
      </c>
      <c r="B32" s="7" t="s">
        <v>264</v>
      </c>
      <c r="C32" s="7" t="s">
        <v>13</v>
      </c>
      <c r="D32" s="7" t="s">
        <v>68</v>
      </c>
      <c r="E32" s="7" t="s">
        <v>524</v>
      </c>
      <c r="F32" s="7" t="s">
        <v>7</v>
      </c>
      <c r="G32" s="7" t="s">
        <v>69</v>
      </c>
      <c r="H32" s="7" t="s">
        <v>528</v>
      </c>
      <c r="I32" s="7">
        <f t="shared" si="0"/>
        <v>4</v>
      </c>
      <c r="J32" s="7">
        <f t="shared" si="1"/>
        <v>24</v>
      </c>
      <c r="K32" s="7" t="s">
        <v>526</v>
      </c>
      <c r="L32" s="7" t="s">
        <v>556</v>
      </c>
      <c r="M32" s="7" t="s">
        <v>7</v>
      </c>
      <c r="N32" s="7"/>
      <c r="O32" s="7" t="s">
        <v>7</v>
      </c>
      <c r="P32" s="7" t="s">
        <v>7</v>
      </c>
      <c r="Q32" s="7"/>
      <c r="R32" s="7" t="str">
        <f t="shared" si="2"/>
        <v>Vòng bi SB6000ZZ --&gt; đổi sang C-SE6000ZZ</v>
      </c>
    </row>
    <row r="33" spans="1:18" s="4" customFormat="1" ht="66" hidden="1" customHeight="1" x14ac:dyDescent="0.25">
      <c r="A33" s="3" t="s">
        <v>7</v>
      </c>
      <c r="B33" s="13" t="s">
        <v>265</v>
      </c>
      <c r="C33" s="7" t="s">
        <v>13</v>
      </c>
      <c r="D33" s="7" t="s">
        <v>70</v>
      </c>
      <c r="E33" s="7" t="s">
        <v>506</v>
      </c>
      <c r="F33" s="7" t="s">
        <v>7</v>
      </c>
      <c r="G33" s="7" t="s">
        <v>71</v>
      </c>
      <c r="H33" s="7" t="str">
        <f>H27</f>
        <v>Phanh trục</v>
      </c>
      <c r="I33" s="7">
        <f t="shared" si="0"/>
        <v>4</v>
      </c>
      <c r="J33" s="7">
        <f t="shared" si="1"/>
        <v>24</v>
      </c>
      <c r="K33" s="7" t="str">
        <f>K27</f>
        <v>đã tồn kho sẵn</v>
      </c>
      <c r="L33" s="7" t="s">
        <v>7</v>
      </c>
      <c r="M33" s="7" t="s">
        <v>7</v>
      </c>
      <c r="N33" s="7"/>
      <c r="O33" s="7" t="s">
        <v>7</v>
      </c>
      <c r="P33" s="7" t="s">
        <v>7</v>
      </c>
      <c r="Q33" s="7"/>
      <c r="R33" s="7" t="str">
        <f t="shared" si="2"/>
        <v>phanh trục STWN10</v>
      </c>
    </row>
    <row r="34" spans="1:18" s="4" customFormat="1" ht="66" hidden="1" customHeight="1" x14ac:dyDescent="0.25">
      <c r="A34" s="3" t="s">
        <v>7</v>
      </c>
      <c r="B34" s="13" t="s">
        <v>266</v>
      </c>
      <c r="C34" s="7" t="s">
        <v>8</v>
      </c>
      <c r="D34" s="7" t="s">
        <v>72</v>
      </c>
      <c r="E34" s="14" t="s">
        <v>507</v>
      </c>
      <c r="F34" s="7" t="s">
        <v>7</v>
      </c>
      <c r="G34" s="7" t="s">
        <v>73</v>
      </c>
      <c r="H34" s="7" t="s">
        <v>490</v>
      </c>
      <c r="I34" s="7">
        <f t="shared" si="0"/>
        <v>2</v>
      </c>
      <c r="J34" s="7">
        <f t="shared" si="1"/>
        <v>12</v>
      </c>
      <c r="K34" s="7" t="str">
        <f>K8</f>
        <v>đã chốt đặt, dự kiến về trước 10/4</v>
      </c>
      <c r="L34" s="7" t="s">
        <v>7</v>
      </c>
      <c r="M34" s="7" t="s">
        <v>7</v>
      </c>
      <c r="N34" s="7"/>
      <c r="O34" s="7" t="s">
        <v>7</v>
      </c>
      <c r="P34" s="7" t="s">
        <v>7</v>
      </c>
      <c r="Q34" s="7"/>
      <c r="R34" s="7" t="str">
        <f t="shared" si="2"/>
        <v>HTPA18S5M100-B-N10-FC30.0 đổi sang HTPA18S5M150-B-N10-FC30.0</v>
      </c>
    </row>
    <row r="35" spans="1:18" s="4" customFormat="1" ht="66" hidden="1" customHeight="1" x14ac:dyDescent="0.25">
      <c r="A35" s="3" t="s">
        <v>7</v>
      </c>
      <c r="B35" s="13" t="s">
        <v>267</v>
      </c>
      <c r="C35" s="7" t="s">
        <v>74</v>
      </c>
      <c r="D35" s="7" t="s">
        <v>75</v>
      </c>
      <c r="E35" s="7" t="s">
        <v>508</v>
      </c>
      <c r="F35" s="7" t="s">
        <v>7</v>
      </c>
      <c r="G35" s="7" t="s">
        <v>76</v>
      </c>
      <c r="H35" s="7" t="s">
        <v>503</v>
      </c>
      <c r="I35" s="7">
        <f t="shared" si="0"/>
        <v>6</v>
      </c>
      <c r="J35" s="7">
        <f t="shared" si="1"/>
        <v>36</v>
      </c>
      <c r="K35" s="7" t="str">
        <f>K20</f>
        <v>đã tồn kho</v>
      </c>
      <c r="L35" s="7" t="s">
        <v>7</v>
      </c>
      <c r="M35" s="7" t="s">
        <v>7</v>
      </c>
      <c r="N35" s="7"/>
      <c r="O35" s="7" t="s">
        <v>7</v>
      </c>
      <c r="P35" s="7" t="s">
        <v>7</v>
      </c>
      <c r="Q35" s="7"/>
      <c r="R35" s="7" t="str">
        <f t="shared" si="2"/>
        <v>Chốt cài KES-15</v>
      </c>
    </row>
    <row r="36" spans="1:18" s="4" customFormat="1" ht="66" hidden="1" customHeight="1" x14ac:dyDescent="0.25">
      <c r="A36" s="3" t="s">
        <v>7</v>
      </c>
      <c r="B36" s="13" t="s">
        <v>268</v>
      </c>
      <c r="C36" s="7" t="s">
        <v>13</v>
      </c>
      <c r="D36" s="7" t="s">
        <v>77</v>
      </c>
      <c r="E36" s="7" t="s">
        <v>488</v>
      </c>
      <c r="F36" s="7" t="s">
        <v>7</v>
      </c>
      <c r="G36" s="7" t="s">
        <v>78</v>
      </c>
      <c r="H36" s="7" t="str">
        <f>H26</f>
        <v>TT</v>
      </c>
      <c r="I36" s="7">
        <f t="shared" si="0"/>
        <v>4</v>
      </c>
      <c r="J36" s="7">
        <f t="shared" si="1"/>
        <v>24</v>
      </c>
      <c r="K36" s="7" t="str">
        <f>K29</f>
        <v>đã giao lô đầu 30 set</v>
      </c>
      <c r="L36" s="7" t="str">
        <f>L31</f>
        <v>9/4 nhận 159 bộ, thiếu rulo chủ động giao sau</v>
      </c>
      <c r="M36" s="7" t="s">
        <v>7</v>
      </c>
      <c r="N36" s="7"/>
      <c r="O36" s="7" t="s">
        <v>7</v>
      </c>
      <c r="P36" s="7" t="s">
        <v>7</v>
      </c>
      <c r="Q36" s="7"/>
      <c r="R36" s="7" t="str">
        <f t="shared" si="2"/>
        <v>SUS304, điện hóa</v>
      </c>
    </row>
    <row r="37" spans="1:18" s="4" customFormat="1" ht="66" hidden="1" customHeight="1" x14ac:dyDescent="0.25">
      <c r="A37" s="3" t="s">
        <v>7</v>
      </c>
      <c r="B37" s="13" t="s">
        <v>269</v>
      </c>
      <c r="C37" s="7" t="s">
        <v>13</v>
      </c>
      <c r="D37" s="7" t="s">
        <v>79</v>
      </c>
      <c r="E37" s="7" t="str">
        <f>E22</f>
        <v>AL6061 anode đen</v>
      </c>
      <c r="F37" s="7" t="s">
        <v>7</v>
      </c>
      <c r="G37" s="7" t="s">
        <v>37</v>
      </c>
      <c r="H37" s="7" t="str">
        <f>H23</f>
        <v>GTAM</v>
      </c>
      <c r="I37" s="7">
        <f t="shared" si="0"/>
        <v>4</v>
      </c>
      <c r="J37" s="7">
        <f t="shared" si="1"/>
        <v>24</v>
      </c>
      <c r="K37" s="7" t="str">
        <f>K23</f>
        <v>9/4 đã xong</v>
      </c>
      <c r="L37" s="7"/>
      <c r="M37" s="7" t="s">
        <v>7</v>
      </c>
      <c r="N37" s="7"/>
      <c r="O37" s="7" t="s">
        <v>7</v>
      </c>
      <c r="P37" s="7" t="s">
        <v>7</v>
      </c>
      <c r="Q37" s="7"/>
      <c r="R37" s="7" t="str">
        <f t="shared" si="2"/>
        <v>AL6061 anode đen</v>
      </c>
    </row>
    <row r="38" spans="1:18" s="4" customFormat="1" ht="66" hidden="1" customHeight="1" x14ac:dyDescent="0.25">
      <c r="A38" s="3" t="s">
        <v>7</v>
      </c>
      <c r="B38" s="13" t="s">
        <v>270</v>
      </c>
      <c r="C38" s="7" t="s">
        <v>13</v>
      </c>
      <c r="D38" s="7" t="s">
        <v>80</v>
      </c>
      <c r="E38" s="7" t="str">
        <f>E37</f>
        <v>AL6061 anode đen</v>
      </c>
      <c r="F38" s="7" t="s">
        <v>7</v>
      </c>
      <c r="G38" s="7" t="s">
        <v>81</v>
      </c>
      <c r="H38" s="7" t="str">
        <f>H37</f>
        <v>GTAM</v>
      </c>
      <c r="I38" s="7">
        <f t="shared" si="0"/>
        <v>4</v>
      </c>
      <c r="J38" s="7">
        <f t="shared" si="1"/>
        <v>24</v>
      </c>
      <c r="K38" s="7" t="str">
        <f>K37</f>
        <v>9/4 đã xong</v>
      </c>
      <c r="L38" s="7"/>
      <c r="M38" s="7" t="s">
        <v>7</v>
      </c>
      <c r="N38" s="7"/>
      <c r="O38" s="7" t="s">
        <v>7</v>
      </c>
      <c r="P38" s="7" t="s">
        <v>7</v>
      </c>
      <c r="Q38" s="7"/>
      <c r="R38" s="7" t="str">
        <f t="shared" si="2"/>
        <v>AL6061 anode đen</v>
      </c>
    </row>
    <row r="39" spans="1:18" s="4" customFormat="1" ht="66" hidden="1" customHeight="1" x14ac:dyDescent="0.25">
      <c r="A39" s="3" t="s">
        <v>7</v>
      </c>
      <c r="B39" s="13" t="s">
        <v>271</v>
      </c>
      <c r="C39" s="7" t="s">
        <v>13</v>
      </c>
      <c r="D39" s="7" t="s">
        <v>82</v>
      </c>
      <c r="E39" s="7" t="str">
        <f>E38</f>
        <v>AL6061 anode đen</v>
      </c>
      <c r="F39" s="7" t="s">
        <v>7</v>
      </c>
      <c r="G39" s="7" t="s">
        <v>83</v>
      </c>
      <c r="H39" s="7" t="str">
        <f>H38</f>
        <v>GTAM</v>
      </c>
      <c r="I39" s="7">
        <f t="shared" si="0"/>
        <v>4</v>
      </c>
      <c r="J39" s="7">
        <f t="shared" si="1"/>
        <v>24</v>
      </c>
      <c r="K39" s="7" t="str">
        <f>K38</f>
        <v>9/4 đã xong</v>
      </c>
      <c r="L39" s="7"/>
      <c r="M39" s="7" t="s">
        <v>7</v>
      </c>
      <c r="N39" s="7"/>
      <c r="O39" s="7" t="s">
        <v>7</v>
      </c>
      <c r="P39" s="7" t="s">
        <v>7</v>
      </c>
      <c r="Q39" s="7"/>
      <c r="R39" s="7" t="str">
        <f t="shared" si="2"/>
        <v>AL6061 anode đen</v>
      </c>
    </row>
    <row r="40" spans="1:18" s="4" customFormat="1" ht="66" hidden="1" customHeight="1" x14ac:dyDescent="0.25">
      <c r="A40" s="3" t="s">
        <v>7</v>
      </c>
      <c r="B40" s="13" t="s">
        <v>272</v>
      </c>
      <c r="C40" s="7" t="s">
        <v>13</v>
      </c>
      <c r="D40" s="7" t="s">
        <v>84</v>
      </c>
      <c r="E40" s="7" t="str">
        <f>E39</f>
        <v>AL6061 anode đen</v>
      </c>
      <c r="F40" s="7" t="s">
        <v>7</v>
      </c>
      <c r="G40" s="7" t="s">
        <v>85</v>
      </c>
      <c r="H40" s="7" t="str">
        <f>H39</f>
        <v>GTAM</v>
      </c>
      <c r="I40" s="7">
        <f t="shared" si="0"/>
        <v>4</v>
      </c>
      <c r="J40" s="7">
        <f t="shared" si="1"/>
        <v>24</v>
      </c>
      <c r="K40" s="7" t="str">
        <f>K39</f>
        <v>9/4 đã xong</v>
      </c>
      <c r="L40" s="7"/>
      <c r="M40" s="7" t="s">
        <v>7</v>
      </c>
      <c r="N40" s="7"/>
      <c r="O40" s="7" t="s">
        <v>7</v>
      </c>
      <c r="P40" s="7" t="s">
        <v>7</v>
      </c>
      <c r="Q40" s="7"/>
      <c r="R40" s="7" t="str">
        <f t="shared" si="2"/>
        <v>AL6061 anode đen</v>
      </c>
    </row>
    <row r="41" spans="1:18" s="4" customFormat="1" ht="66" hidden="1" customHeight="1" x14ac:dyDescent="0.25">
      <c r="A41" s="3" t="s">
        <v>7</v>
      </c>
      <c r="B41" s="13" t="s">
        <v>273</v>
      </c>
      <c r="C41" s="7" t="s">
        <v>13</v>
      </c>
      <c r="D41" s="7" t="s">
        <v>86</v>
      </c>
      <c r="E41" s="7" t="str">
        <f>E40</f>
        <v>AL6061 anode đen</v>
      </c>
      <c r="F41" s="7" t="s">
        <v>7</v>
      </c>
      <c r="G41" s="7" t="s">
        <v>87</v>
      </c>
      <c r="H41" s="7" t="str">
        <f>H40</f>
        <v>GTAM</v>
      </c>
      <c r="I41" s="7">
        <f t="shared" si="0"/>
        <v>4</v>
      </c>
      <c r="J41" s="7">
        <f t="shared" si="1"/>
        <v>24</v>
      </c>
      <c r="K41" s="7" t="str">
        <f>K40</f>
        <v>9/4 đã xong</v>
      </c>
      <c r="L41" s="7"/>
      <c r="M41" s="7" t="s">
        <v>7</v>
      </c>
      <c r="N41" s="7"/>
      <c r="O41" s="7" t="s">
        <v>7</v>
      </c>
      <c r="P41" s="7" t="s">
        <v>7</v>
      </c>
      <c r="Q41" s="7"/>
      <c r="R41" s="7" t="str">
        <f t="shared" si="2"/>
        <v>AL6061 anode đen</v>
      </c>
    </row>
    <row r="42" spans="1:18" s="4" customFormat="1" ht="66" hidden="1" customHeight="1" x14ac:dyDescent="0.25">
      <c r="A42" s="3" t="s">
        <v>7</v>
      </c>
      <c r="B42" s="13" t="s">
        <v>274</v>
      </c>
      <c r="C42" s="7" t="s">
        <v>13</v>
      </c>
      <c r="D42" s="7" t="s">
        <v>88</v>
      </c>
      <c r="E42" s="7" t="str">
        <f>E41</f>
        <v>AL6061 anode đen</v>
      </c>
      <c r="F42" s="7" t="s">
        <v>7</v>
      </c>
      <c r="G42" s="7" t="s">
        <v>89</v>
      </c>
      <c r="H42" s="7" t="str">
        <f>H41</f>
        <v>GTAM</v>
      </c>
      <c r="I42" s="7">
        <f t="shared" ref="I42" si="3">C42*$I$1</f>
        <v>4</v>
      </c>
      <c r="J42" s="7">
        <f t="shared" si="1"/>
        <v>24</v>
      </c>
      <c r="K42" s="7" t="str">
        <f>K41</f>
        <v>9/4 đã xong</v>
      </c>
      <c r="L42" s="7"/>
      <c r="M42" s="7" t="s">
        <v>7</v>
      </c>
      <c r="N42" s="7"/>
      <c r="O42" s="7" t="s">
        <v>7</v>
      </c>
      <c r="P42" s="7" t="s">
        <v>7</v>
      </c>
      <c r="Q42" s="7"/>
      <c r="R42" s="7" t="str">
        <f t="shared" si="2"/>
        <v>AL6061 anode đen</v>
      </c>
    </row>
    <row r="44" spans="1:18" x14ac:dyDescent="0.25">
      <c r="H44" s="18"/>
      <c r="I44" s="18" t="s">
        <v>545</v>
      </c>
      <c r="J44" s="18" t="s">
        <v>558</v>
      </c>
      <c r="K44" s="18"/>
    </row>
    <row r="45" spans="1:18" x14ac:dyDescent="0.25">
      <c r="H45" s="15" t="s">
        <v>493</v>
      </c>
      <c r="I45" s="15" t="str">
        <f>K12</f>
        <v>đã nhận đủ hàng 9/4</v>
      </c>
      <c r="J45" s="15" t="str">
        <f>L12</f>
        <v>đã đặt hàng 10/4, hẹn 25/4 giao 50%, 5/5 giao nốt</v>
      </c>
      <c r="K45" s="15"/>
    </row>
    <row r="46" spans="1:18" x14ac:dyDescent="0.25">
      <c r="H46" s="15" t="s">
        <v>487</v>
      </c>
      <c r="I46" s="15" t="str">
        <f>K7</f>
        <v>đã xong 9/4</v>
      </c>
      <c r="J46" s="15"/>
      <c r="K46" s="15"/>
    </row>
    <row r="47" spans="1:18" x14ac:dyDescent="0.25">
      <c r="H47" s="15" t="s">
        <v>503</v>
      </c>
      <c r="I47" s="15" t="str">
        <f>K35</f>
        <v>đã tồn kho</v>
      </c>
      <c r="J47" s="15" t="str">
        <f>I47</f>
        <v>đã tồn kho</v>
      </c>
      <c r="K47" s="15"/>
    </row>
    <row r="48" spans="1:18" x14ac:dyDescent="0.25">
      <c r="H48" s="15" t="s">
        <v>494</v>
      </c>
      <c r="I48" s="15" t="str">
        <f>K42</f>
        <v>9/4 đã xong</v>
      </c>
      <c r="J48" s="15"/>
      <c r="K48" s="15"/>
    </row>
    <row r="49" spans="6:13" x14ac:dyDescent="0.25">
      <c r="H49" s="15" t="s">
        <v>483</v>
      </c>
      <c r="I49" s="15" t="str">
        <f>K3</f>
        <v>đã chốt đặt, dự kiến về trước 10/4</v>
      </c>
      <c r="J49" s="15" t="str">
        <f>L3</f>
        <v xml:space="preserve">đã nhận đủ 13/4, </v>
      </c>
      <c r="K49" s="15"/>
    </row>
    <row r="50" spans="6:13" x14ac:dyDescent="0.25">
      <c r="H50" s="15" t="str">
        <f>H24</f>
        <v>TT</v>
      </c>
      <c r="I50" s="15" t="str">
        <f>K31</f>
        <v>đã giao lô đầu 30 set</v>
      </c>
      <c r="J50" s="15" t="str">
        <f>L36</f>
        <v>9/4 nhận 159 bộ, thiếu rulo chủ động giao sau</v>
      </c>
      <c r="K50" s="15"/>
    </row>
    <row r="51" spans="6:13" x14ac:dyDescent="0.25">
      <c r="H51" s="15" t="s">
        <v>501</v>
      </c>
      <c r="I51" s="15" t="str">
        <f>K27</f>
        <v>đã tồn kho sẵn</v>
      </c>
      <c r="J51" s="15" t="str">
        <f>I51</f>
        <v>đã tồn kho sẵn</v>
      </c>
      <c r="K51" s="15"/>
    </row>
    <row r="52" spans="6:13" x14ac:dyDescent="0.25">
      <c r="H52" s="15" t="s">
        <v>496</v>
      </c>
      <c r="I52" s="15" t="str">
        <f>K18</f>
        <v>NG báo đã nhận 27 set, đủ lô 7CV</v>
      </c>
      <c r="J52" s="15"/>
      <c r="K52" s="15"/>
    </row>
    <row r="53" spans="6:13" x14ac:dyDescent="0.25">
      <c r="H53" s="15" t="s">
        <v>490</v>
      </c>
      <c r="I53" s="15" t="str">
        <f>K3</f>
        <v>đã chốt đặt, dự kiến về trước 10/4</v>
      </c>
      <c r="J53" s="15"/>
      <c r="K53" s="15"/>
    </row>
    <row r="54" spans="6:13" x14ac:dyDescent="0.25">
      <c r="H54" s="15" t="str">
        <f>H25</f>
        <v>VB C-SE688ZZ</v>
      </c>
      <c r="I54" s="15" t="str">
        <f>K25</f>
        <v>đặt tổng 432, đã về hàng 9/4</v>
      </c>
      <c r="J54" s="15" t="str">
        <f>L25</f>
        <v>Tổng lô đặt HC 2280, 14/4 về trc 630</v>
      </c>
      <c r="K54" s="15"/>
    </row>
    <row r="55" spans="6:13" x14ac:dyDescent="0.25">
      <c r="H55" s="15" t="str">
        <f>H32</f>
        <v>VB C-SE6000ZZ</v>
      </c>
      <c r="I55" s="15" t="str">
        <f>K32</f>
        <v>đã nhận hàng 27/3</v>
      </c>
      <c r="J55" s="15" t="str">
        <f>L32</f>
        <v>tổng lô 324, đã về đủ 13/4</v>
      </c>
      <c r="K55" s="15"/>
    </row>
    <row r="56" spans="6:13" x14ac:dyDescent="0.25">
      <c r="H56" s="15"/>
      <c r="I56" s="15"/>
      <c r="J56" s="15"/>
      <c r="K56" s="15"/>
    </row>
    <row r="57" spans="6:13" ht="18.75" x14ac:dyDescent="0.3">
      <c r="G57" s="23" t="s">
        <v>514</v>
      </c>
      <c r="H57" s="23"/>
      <c r="I57" s="23"/>
      <c r="J57" s="23"/>
      <c r="K57" s="23"/>
      <c r="L57" s="23"/>
      <c r="M57" s="23"/>
    </row>
    <row r="58" spans="6:13" x14ac:dyDescent="0.25">
      <c r="G58" s="16" t="s">
        <v>514</v>
      </c>
      <c r="H58" s="16" t="s">
        <v>546</v>
      </c>
      <c r="I58" s="16" t="s">
        <v>547</v>
      </c>
      <c r="J58" s="16"/>
      <c r="K58" s="16" t="s">
        <v>234</v>
      </c>
      <c r="L58" s="16" t="s">
        <v>546</v>
      </c>
      <c r="M58" s="16" t="s">
        <v>547</v>
      </c>
    </row>
    <row r="59" spans="6:13" ht="15.75" x14ac:dyDescent="0.25">
      <c r="F59">
        <v>684</v>
      </c>
      <c r="G59" s="7" t="s">
        <v>499</v>
      </c>
      <c r="H59" s="7">
        <v>32</v>
      </c>
      <c r="I59" s="7">
        <f t="shared" ref="I59:I65" si="4">H59*6</f>
        <v>192</v>
      </c>
      <c r="J59">
        <f t="shared" ref="J59:J65" si="5">F59</f>
        <v>684</v>
      </c>
      <c r="K59" s="7" t="s">
        <v>505</v>
      </c>
      <c r="L59" s="7">
        <v>4</v>
      </c>
      <c r="M59" s="7">
        <f t="shared" ref="M59:M65" si="6">L59*6</f>
        <v>24</v>
      </c>
    </row>
    <row r="60" spans="6:13" ht="15.75" x14ac:dyDescent="0.25">
      <c r="F60">
        <v>700</v>
      </c>
      <c r="G60" s="7" t="s">
        <v>499</v>
      </c>
      <c r="H60" s="7">
        <v>64</v>
      </c>
      <c r="I60" s="7">
        <f t="shared" si="4"/>
        <v>384</v>
      </c>
      <c r="J60">
        <f t="shared" si="5"/>
        <v>700</v>
      </c>
      <c r="K60" s="7" t="s">
        <v>505</v>
      </c>
      <c r="L60" s="7">
        <v>8</v>
      </c>
      <c r="M60" s="7">
        <f t="shared" si="6"/>
        <v>48</v>
      </c>
    </row>
    <row r="61" spans="6:13" ht="15.75" x14ac:dyDescent="0.25">
      <c r="F61">
        <v>701</v>
      </c>
      <c r="G61" s="7" t="s">
        <v>499</v>
      </c>
      <c r="H61" s="7">
        <v>32</v>
      </c>
      <c r="I61" s="7">
        <f t="shared" si="4"/>
        <v>192</v>
      </c>
      <c r="J61">
        <f t="shared" si="5"/>
        <v>701</v>
      </c>
      <c r="K61" s="7" t="s">
        <v>505</v>
      </c>
      <c r="L61" s="7">
        <v>4</v>
      </c>
      <c r="M61" s="7">
        <f t="shared" si="6"/>
        <v>24</v>
      </c>
    </row>
    <row r="62" spans="6:13" ht="15.75" x14ac:dyDescent="0.25">
      <c r="F62">
        <v>703</v>
      </c>
      <c r="G62" s="7" t="s">
        <v>499</v>
      </c>
      <c r="H62" s="7">
        <v>32</v>
      </c>
      <c r="I62" s="7">
        <f t="shared" si="4"/>
        <v>192</v>
      </c>
      <c r="J62">
        <f t="shared" si="5"/>
        <v>703</v>
      </c>
      <c r="K62" s="7" t="s">
        <v>505</v>
      </c>
      <c r="L62" s="7">
        <v>4</v>
      </c>
      <c r="M62" s="7">
        <f t="shared" si="6"/>
        <v>24</v>
      </c>
    </row>
    <row r="63" spans="6:13" ht="15.75" x14ac:dyDescent="0.25">
      <c r="F63">
        <v>704</v>
      </c>
      <c r="G63" s="7" t="s">
        <v>499</v>
      </c>
      <c r="H63" s="7">
        <v>32</v>
      </c>
      <c r="I63" s="7">
        <f t="shared" si="4"/>
        <v>192</v>
      </c>
      <c r="J63">
        <f t="shared" si="5"/>
        <v>704</v>
      </c>
      <c r="K63" s="7" t="s">
        <v>505</v>
      </c>
      <c r="L63" s="7">
        <v>4</v>
      </c>
      <c r="M63" s="7">
        <f t="shared" si="6"/>
        <v>24</v>
      </c>
    </row>
    <row r="64" spans="6:13" ht="15.75" x14ac:dyDescent="0.25">
      <c r="F64">
        <v>707</v>
      </c>
      <c r="G64" s="7" t="s">
        <v>499</v>
      </c>
      <c r="H64" s="7">
        <v>144</v>
      </c>
      <c r="I64" s="7">
        <f t="shared" si="4"/>
        <v>864</v>
      </c>
      <c r="J64">
        <f t="shared" si="5"/>
        <v>707</v>
      </c>
      <c r="K64" s="7" t="s">
        <v>505</v>
      </c>
      <c r="L64" s="7">
        <v>18</v>
      </c>
      <c r="M64" s="7">
        <f t="shared" si="6"/>
        <v>108</v>
      </c>
    </row>
    <row r="65" spans="6:13" ht="15.75" x14ac:dyDescent="0.25">
      <c r="F65">
        <v>708</v>
      </c>
      <c r="G65" s="13" t="s">
        <v>499</v>
      </c>
      <c r="H65" s="7">
        <v>96</v>
      </c>
      <c r="I65" s="7">
        <f t="shared" si="4"/>
        <v>576</v>
      </c>
      <c r="J65">
        <f t="shared" si="5"/>
        <v>708</v>
      </c>
      <c r="K65" s="13" t="s">
        <v>505</v>
      </c>
      <c r="L65" s="7">
        <v>12</v>
      </c>
      <c r="M65" s="7">
        <f t="shared" si="6"/>
        <v>72</v>
      </c>
    </row>
    <row r="66" spans="6:13" ht="18.75" x14ac:dyDescent="0.3">
      <c r="H66" s="19">
        <f>SUM(H59:H65)</f>
        <v>432</v>
      </c>
      <c r="I66" s="19">
        <f>SUM(I59:I65)</f>
        <v>2592</v>
      </c>
      <c r="L66" s="20">
        <f>SUM(L59:L65)</f>
        <v>54</v>
      </c>
      <c r="M66" s="20">
        <f>SUM(M59:M65)</f>
        <v>324</v>
      </c>
    </row>
    <row r="67" spans="6:13" x14ac:dyDescent="0.25">
      <c r="F67" s="22" t="s">
        <v>518</v>
      </c>
      <c r="G67" s="22"/>
      <c r="H67" s="22"/>
    </row>
    <row r="68" spans="6:13" x14ac:dyDescent="0.25">
      <c r="F68" s="24" t="s">
        <v>517</v>
      </c>
      <c r="G68" s="25"/>
      <c r="H68" s="16" t="s">
        <v>546</v>
      </c>
      <c r="I68" s="16" t="s">
        <v>547</v>
      </c>
    </row>
    <row r="69" spans="6:13" x14ac:dyDescent="0.25">
      <c r="F69" s="15">
        <v>684</v>
      </c>
      <c r="G69" s="15" t="str">
        <f>E3</f>
        <v>TTBU250T5-100 --&gt; đổi sang C-TTBN250T5-150</v>
      </c>
      <c r="H69" s="15">
        <f>I18</f>
        <v>2</v>
      </c>
      <c r="I69" s="15">
        <f t="shared" ref="I69:I75" si="7">H69*6</f>
        <v>12</v>
      </c>
    </row>
    <row r="70" spans="6:13" x14ac:dyDescent="0.25">
      <c r="F70" s="15">
        <v>700</v>
      </c>
      <c r="G70" s="15"/>
      <c r="H70" s="15">
        <f>'Z0000002-508700 BOM triển k hai'!I18</f>
        <v>4</v>
      </c>
      <c r="I70" s="15">
        <f t="shared" si="7"/>
        <v>24</v>
      </c>
    </row>
    <row r="71" spans="6:13" x14ac:dyDescent="0.25">
      <c r="F71" s="15">
        <v>701</v>
      </c>
      <c r="G71" s="15"/>
      <c r="H71" s="15">
        <f>'Z0000002-508701 BOM triển k hai'!I21</f>
        <v>2</v>
      </c>
      <c r="I71" s="15">
        <f t="shared" si="7"/>
        <v>12</v>
      </c>
    </row>
    <row r="72" spans="6:13" x14ac:dyDescent="0.25">
      <c r="F72" s="15">
        <v>703</v>
      </c>
      <c r="G72" s="15"/>
      <c r="H72" s="15">
        <f>'Z0000002-508703 BOM triển khai'!I25</f>
        <v>2</v>
      </c>
      <c r="I72" s="15">
        <f t="shared" si="7"/>
        <v>12</v>
      </c>
    </row>
    <row r="73" spans="6:13" x14ac:dyDescent="0.25">
      <c r="F73" s="15">
        <v>704</v>
      </c>
      <c r="G73" s="15"/>
      <c r="H73" s="15">
        <f>'Z0000002-508704 BOM triển khai'!I32</f>
        <v>2</v>
      </c>
      <c r="I73" s="15">
        <f t="shared" si="7"/>
        <v>12</v>
      </c>
    </row>
    <row r="74" spans="6:13" x14ac:dyDescent="0.25">
      <c r="F74" s="15">
        <v>707</v>
      </c>
      <c r="G74" s="15"/>
      <c r="H74" s="15">
        <f>'Z0000002-508707 BOM triển khai'!I36</f>
        <v>9</v>
      </c>
      <c r="I74" s="15">
        <f t="shared" si="7"/>
        <v>54</v>
      </c>
    </row>
    <row r="75" spans="6:13" x14ac:dyDescent="0.25">
      <c r="F75" s="15">
        <v>708</v>
      </c>
      <c r="G75" s="15"/>
      <c r="H75" s="15">
        <f>'Z0000002-508708 BOM triển kh ai'!I34</f>
        <v>6</v>
      </c>
      <c r="I75" s="15">
        <f t="shared" si="7"/>
        <v>36</v>
      </c>
    </row>
    <row r="76" spans="6:13" ht="18.75" x14ac:dyDescent="0.3">
      <c r="H76" s="8">
        <f>SUM(H69:H75)</f>
        <v>27</v>
      </c>
      <c r="I76" s="8">
        <f>SUM(I69:I75)</f>
        <v>162</v>
      </c>
    </row>
    <row r="78" spans="6:13" x14ac:dyDescent="0.25">
      <c r="F78" s="22" t="s">
        <v>521</v>
      </c>
      <c r="G78" s="22"/>
      <c r="H78" s="22"/>
      <c r="I78" s="15" t="s">
        <v>548</v>
      </c>
    </row>
    <row r="79" spans="6:13" x14ac:dyDescent="0.25">
      <c r="F79" s="15">
        <v>684</v>
      </c>
      <c r="G79" s="15" t="str">
        <f>E12</f>
        <v>belt PU đen, chống tĩnh điện, ép viền chống xước, dày 1.5mm, bản rộng 20mm, chu vi 890mm( đo mép trong 895mm, chốt cân chỉnh đang ở giữa )</v>
      </c>
      <c r="H79" s="15">
        <f>I28</f>
        <v>8</v>
      </c>
      <c r="I79" s="15">
        <f t="shared" ref="I79:I85" si="8">H79*6</f>
        <v>48</v>
      </c>
    </row>
    <row r="80" spans="6:13" x14ac:dyDescent="0.25">
      <c r="F80" s="15">
        <v>700</v>
      </c>
      <c r="G80" s="15" t="str">
        <f>'Z0000002-508700 BOM triển k hai'!E12</f>
        <v>belt PU đen, chống tĩnh điện, ép viền chống xước, dày 1.5mm, bản rộng 20mm, chu vi 890mm( đo mép trong 895mm, chốt cân chỉnh đang ở giữa )</v>
      </c>
      <c r="H80" s="17">
        <f>'Z0000002-508700 BOM triển k hai'!I12</f>
        <v>8</v>
      </c>
      <c r="I80" s="15">
        <f t="shared" si="8"/>
        <v>48</v>
      </c>
    </row>
    <row r="81" spans="6:9" x14ac:dyDescent="0.25">
      <c r="F81" s="15">
        <v>701</v>
      </c>
      <c r="G81" s="15" t="str">
        <f>'Z0000002-508701 BOM triển k hai'!E15</f>
        <v>belt PU đen, chống tĩnh điện, ép viền chống xước, dày 1.5mm, bản rộng 20mm, chu vi 890mm( đo mép trong 895mm, chốt cân chỉnh đang ở giữa )</v>
      </c>
      <c r="H81" s="15">
        <f>'Z0000002-508701 BOM triển k hai'!I15</f>
        <v>4</v>
      </c>
      <c r="I81" s="15">
        <f t="shared" si="8"/>
        <v>24</v>
      </c>
    </row>
    <row r="82" spans="6:9" x14ac:dyDescent="0.25">
      <c r="F82" s="15">
        <v>703</v>
      </c>
      <c r="G82" s="15" t="str">
        <f>'Z0000002-508703 BOM triển khai'!E14</f>
        <v>belt PU đen, chống tĩnh điện, ép viền chống xước, dày 1.5mm, bản rộng 20mm, chu vi 890mm( đo mép trong 895mm, chốt cân chỉnh đang ở giữa )</v>
      </c>
      <c r="H82" s="15">
        <f>'Z0000002-508703 BOM triển khai'!I14</f>
        <v>4</v>
      </c>
      <c r="I82" s="15">
        <f t="shared" si="8"/>
        <v>24</v>
      </c>
    </row>
    <row r="83" spans="6:9" x14ac:dyDescent="0.25">
      <c r="F83" s="15">
        <v>704</v>
      </c>
      <c r="G83" s="15" t="str">
        <f>'Z0000002-508704 BOM triển khai'!E24</f>
        <v xml:space="preserve">belt PU đen, chống tĩnh điện, độ dày 1.5m, bản rộng 20mm, chu vi 650mm (đo mép trong 655mm, chốt căn chỉnh ở giữa) </v>
      </c>
      <c r="H83" s="15">
        <f>'Z0000002-508704 BOM triển khai'!I24</f>
        <v>4</v>
      </c>
      <c r="I83" s="15">
        <f t="shared" si="8"/>
        <v>24</v>
      </c>
    </row>
    <row r="84" spans="6:9" x14ac:dyDescent="0.25">
      <c r="F84" s="15">
        <v>707</v>
      </c>
      <c r="G84" s="15" t="str">
        <f>'Z0000002-508707 BOM triển khai'!E25</f>
        <v>belt PU đen, chống tĩnh điện, ép viền chống xước, dày 1.5mm, bản rộng 20mm,  chu vi 1210mm ( đo mép trong 1219mm, chốt căn chỉnh ở giữa )</v>
      </c>
      <c r="H84" s="15">
        <f>'Z0000002-508707 BOM triển khai'!I25</f>
        <v>18</v>
      </c>
      <c r="I84" s="15">
        <f t="shared" si="8"/>
        <v>108</v>
      </c>
    </row>
    <row r="85" spans="6:9" x14ac:dyDescent="0.25">
      <c r="F85" s="15">
        <v>708</v>
      </c>
      <c r="G85" s="15" t="str">
        <f>'Z0000002-508708 BOM triển kh ai'!E25</f>
        <v xml:space="preserve">belt PU đen, chống tĩnh điện, độ dày 1.5m, bản rộng 20mm, chu vi 650mm (đo mép trong 655mm, chốt căn chỉnh ở giữa) </v>
      </c>
      <c r="H85" s="15">
        <f>'Z0000002-508708 BOM triển kh ai'!I25</f>
        <v>12</v>
      </c>
      <c r="I85" s="15">
        <f t="shared" si="8"/>
        <v>72</v>
      </c>
    </row>
    <row r="86" spans="6:9" x14ac:dyDescent="0.25">
      <c r="H86" s="21">
        <f>SUBTOTAL(9,H79:H85)</f>
        <v>58</v>
      </c>
      <c r="I86" s="21">
        <f>SUBTOTAL(9,I79:I85)</f>
        <v>348</v>
      </c>
    </row>
    <row r="88" spans="6:9" x14ac:dyDescent="0.25">
      <c r="F88" s="22" t="s">
        <v>549</v>
      </c>
      <c r="G88" s="22"/>
      <c r="H88" s="22"/>
      <c r="I88" s="15" t="s">
        <v>548</v>
      </c>
    </row>
    <row r="89" spans="6:9" x14ac:dyDescent="0.25">
      <c r="F89" s="15">
        <v>684</v>
      </c>
      <c r="G89" s="15"/>
      <c r="H89" s="15">
        <f>I3</f>
        <v>2</v>
      </c>
      <c r="I89" s="15">
        <f t="shared" ref="I89:I95" si="9">H89*6</f>
        <v>12</v>
      </c>
    </row>
    <row r="90" spans="6:9" x14ac:dyDescent="0.25">
      <c r="F90" s="15">
        <v>700</v>
      </c>
      <c r="G90" s="15"/>
      <c r="H90" s="17">
        <f>'Z0000002-508700 BOM triển k hai'!I11</f>
        <v>4</v>
      </c>
      <c r="I90" s="15">
        <f t="shared" si="9"/>
        <v>24</v>
      </c>
    </row>
    <row r="91" spans="6:9" x14ac:dyDescent="0.25">
      <c r="F91" s="15">
        <v>701</v>
      </c>
      <c r="G91" s="15"/>
      <c r="H91" s="15"/>
      <c r="I91" s="15">
        <f t="shared" si="9"/>
        <v>0</v>
      </c>
    </row>
    <row r="92" spans="6:9" x14ac:dyDescent="0.25">
      <c r="F92" s="15">
        <v>703</v>
      </c>
      <c r="G92" s="15"/>
      <c r="H92" s="15"/>
      <c r="I92" s="15">
        <f t="shared" si="9"/>
        <v>0</v>
      </c>
    </row>
    <row r="93" spans="6:9" x14ac:dyDescent="0.25">
      <c r="F93" s="15">
        <v>704</v>
      </c>
      <c r="G93" s="15" t="str">
        <f>'Z0000002-508704 BOM triển khai'!E6</f>
        <v>TTBU225T5-100 --&gt; đổi sang  C-TTBN225T5-150</v>
      </c>
      <c r="H93" s="15">
        <f>'Z0000002-508704 BOM triển khai'!I6</f>
        <v>2</v>
      </c>
      <c r="I93" s="15">
        <f t="shared" si="9"/>
        <v>12</v>
      </c>
    </row>
    <row r="94" spans="6:9" x14ac:dyDescent="0.25">
      <c r="F94" s="15">
        <v>707</v>
      </c>
      <c r="G94" s="15"/>
      <c r="H94" s="15"/>
      <c r="I94" s="15">
        <f t="shared" si="9"/>
        <v>0</v>
      </c>
    </row>
    <row r="95" spans="6:9" x14ac:dyDescent="0.25">
      <c r="F95" s="15">
        <v>708</v>
      </c>
      <c r="G95" s="15"/>
      <c r="H95" s="15">
        <v>0</v>
      </c>
      <c r="I95" s="15">
        <f t="shared" si="9"/>
        <v>0</v>
      </c>
    </row>
    <row r="96" spans="6:9" x14ac:dyDescent="0.25">
      <c r="H96" s="21">
        <f>SUBTOTAL(9,H89:H95)</f>
        <v>8</v>
      </c>
      <c r="I96" s="21">
        <f>SUBTOTAL(9,I89:I95)</f>
        <v>48</v>
      </c>
    </row>
    <row r="98" spans="5:9" x14ac:dyDescent="0.25">
      <c r="F98" s="22" t="s">
        <v>554</v>
      </c>
      <c r="G98" s="22"/>
      <c r="H98" s="22"/>
      <c r="I98" s="15" t="s">
        <v>548</v>
      </c>
    </row>
    <row r="99" spans="5:9" x14ac:dyDescent="0.25">
      <c r="E99" t="str">
        <f>D8</f>
        <v xml:space="preserve">HTPA18S5M100-A-N8-FC30.0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F99" s="15">
        <v>684</v>
      </c>
      <c r="G99" s="15"/>
      <c r="H99" s="15">
        <f>I13</f>
        <v>2</v>
      </c>
      <c r="I99" s="15">
        <f>J8</f>
        <v>12</v>
      </c>
    </row>
    <row r="100" spans="5:9" x14ac:dyDescent="0.25">
      <c r="E100" t="str">
        <f>D34</f>
        <v>HTPA18S5M100-B-N10-FC30.0_Misumi</v>
      </c>
      <c r="F100" s="15">
        <v>700</v>
      </c>
      <c r="G100" s="15"/>
      <c r="H100" s="17">
        <f>'Z0000002-508700 BOM triển k hai'!I21</f>
        <v>32</v>
      </c>
      <c r="I100" s="15">
        <f t="shared" ref="I100:I105" si="10">H100*6</f>
        <v>192</v>
      </c>
    </row>
    <row r="101" spans="5:9" x14ac:dyDescent="0.25">
      <c r="F101" s="15">
        <v>701</v>
      </c>
      <c r="G101" s="15"/>
      <c r="H101" s="15"/>
      <c r="I101" s="15">
        <f t="shared" si="10"/>
        <v>0</v>
      </c>
    </row>
    <row r="102" spans="5:9" x14ac:dyDescent="0.25">
      <c r="F102" s="15">
        <v>703</v>
      </c>
      <c r="G102" s="15"/>
      <c r="H102" s="15"/>
      <c r="I102" s="15">
        <f t="shared" si="10"/>
        <v>0</v>
      </c>
    </row>
    <row r="103" spans="5:9" x14ac:dyDescent="0.25">
      <c r="F103" s="15">
        <v>704</v>
      </c>
      <c r="G103" s="15" t="str">
        <f>'Z0000002-508704 BOM triển khai'!E16</f>
        <v>SUS304, điện hóa</v>
      </c>
      <c r="H103" s="15">
        <f>'Z0000002-508704 BOM triển khai'!I16</f>
        <v>4</v>
      </c>
      <c r="I103" s="15">
        <f t="shared" si="10"/>
        <v>24</v>
      </c>
    </row>
    <row r="104" spans="5:9" x14ac:dyDescent="0.25">
      <c r="F104" s="15">
        <v>707</v>
      </c>
      <c r="G104" s="15"/>
      <c r="H104" s="15"/>
      <c r="I104" s="15">
        <f t="shared" si="10"/>
        <v>0</v>
      </c>
    </row>
    <row r="105" spans="5:9" x14ac:dyDescent="0.25">
      <c r="F105" s="15">
        <v>708</v>
      </c>
      <c r="G105" s="15"/>
      <c r="H105" s="15">
        <v>0</v>
      </c>
      <c r="I105" s="15">
        <f t="shared" si="10"/>
        <v>0</v>
      </c>
    </row>
    <row r="106" spans="5:9" x14ac:dyDescent="0.25">
      <c r="H106" s="21">
        <f>SUBTOTAL(9,H99:H105)</f>
        <v>38</v>
      </c>
      <c r="I106" s="21">
        <f>SUBTOTAL(9,I99:I105)</f>
        <v>228</v>
      </c>
    </row>
  </sheetData>
  <autoFilter ref="A2:I42" xr:uid="{00000000-0001-0000-0000-000000000000}">
    <filterColumn colId="7">
      <filters>
        <filter val="SPG"/>
      </filters>
    </filterColumn>
  </autoFilter>
  <mergeCells count="6">
    <mergeCell ref="F98:H98"/>
    <mergeCell ref="F67:H67"/>
    <mergeCell ref="F78:H78"/>
    <mergeCell ref="G57:M57"/>
    <mergeCell ref="F68:G68"/>
    <mergeCell ref="F88:H88"/>
  </mergeCells>
  <phoneticPr fontId="9" type="noConversion"/>
  <conditionalFormatting sqref="G69:G77 F68 G1:G56 G87 G97 G107:G1048576">
    <cfRule type="duplicateValues" dxfId="5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208C-C49A-4460-BD90-AA3EB1A2AB84}">
  <sheetPr filterMode="1"/>
  <dimension ref="A1:Q51"/>
  <sheetViews>
    <sheetView workbookViewId="0">
      <selection activeCell="E19" sqref="E19"/>
    </sheetView>
  </sheetViews>
  <sheetFormatPr defaultRowHeight="15" x14ac:dyDescent="0.25"/>
  <cols>
    <col min="1" max="1" width="16.42578125" customWidth="1"/>
    <col min="2" max="2" width="12" customWidth="1"/>
    <col min="3" max="3" width="9.7109375" customWidth="1"/>
    <col min="4" max="4" width="43.85546875" customWidth="1"/>
    <col min="5" max="5" width="66" customWidth="1"/>
    <col min="6" max="6" width="34.5703125" customWidth="1"/>
    <col min="7" max="7" width="19.7109375" customWidth="1"/>
    <col min="8" max="8" width="19.42578125" customWidth="1"/>
    <col min="9" max="9" width="27.7109375" customWidth="1"/>
    <col min="10" max="17" width="19.42578125" customWidth="1"/>
  </cols>
  <sheetData>
    <row r="1" spans="1:17" ht="27" thickBot="1" x14ac:dyDescent="0.45">
      <c r="A1" s="1" t="s">
        <v>114</v>
      </c>
      <c r="B1" s="2"/>
      <c r="C1" s="2"/>
      <c r="D1" s="2"/>
      <c r="H1" s="8" t="s">
        <v>234</v>
      </c>
      <c r="I1" s="8">
        <v>4</v>
      </c>
      <c r="J1" s="8">
        <f>'[1]ducpt trien khai'!$I$28</f>
        <v>24</v>
      </c>
    </row>
    <row r="2" spans="1:17" s="6" customFormat="1" ht="16.5" thickTop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233</v>
      </c>
      <c r="I2" s="5" t="s">
        <v>539</v>
      </c>
      <c r="J2" s="5" t="s">
        <v>540</v>
      </c>
      <c r="K2" s="5"/>
      <c r="L2" s="5"/>
      <c r="M2" s="5"/>
      <c r="N2" s="5"/>
      <c r="O2" s="5"/>
      <c r="P2" s="5"/>
      <c r="Q2" s="5"/>
    </row>
    <row r="3" spans="1:17" s="4" customFormat="1" ht="81" hidden="1" customHeight="1" x14ac:dyDescent="0.25">
      <c r="A3" s="3" t="s">
        <v>7</v>
      </c>
      <c r="B3" s="13" t="s">
        <v>275</v>
      </c>
      <c r="C3" s="7" t="s">
        <v>8</v>
      </c>
      <c r="D3" s="7" t="s">
        <v>91</v>
      </c>
      <c r="E3" s="7" t="s">
        <v>492</v>
      </c>
      <c r="F3" s="7" t="s">
        <v>7</v>
      </c>
      <c r="G3" s="7" t="s">
        <v>92</v>
      </c>
      <c r="H3" s="7" t="s">
        <v>494</v>
      </c>
      <c r="I3" s="7">
        <f>C3*$I$1</f>
        <v>4</v>
      </c>
      <c r="J3" s="7">
        <f>$J$1*C3</f>
        <v>24</v>
      </c>
      <c r="K3" s="7" t="s">
        <v>532</v>
      </c>
      <c r="L3" s="7" t="s">
        <v>7</v>
      </c>
      <c r="M3" s="7"/>
      <c r="N3" s="7" t="s">
        <v>7</v>
      </c>
      <c r="O3" s="7" t="s">
        <v>7</v>
      </c>
      <c r="P3" s="7"/>
      <c r="Q3" s="7" t="s">
        <v>7</v>
      </c>
    </row>
    <row r="4" spans="1:17" s="4" customFormat="1" ht="81" hidden="1" customHeight="1" x14ac:dyDescent="0.25">
      <c r="A4" s="3" t="s">
        <v>7</v>
      </c>
      <c r="B4" s="13" t="s">
        <v>276</v>
      </c>
      <c r="C4" s="7" t="s">
        <v>13</v>
      </c>
      <c r="D4" s="7" t="s">
        <v>93</v>
      </c>
      <c r="E4" s="7">
        <f>VLOOKUP(G4,'Z0000002-508684 BOM triển k hai'!$G$3:$R$42,11,0)</f>
        <v>0</v>
      </c>
      <c r="F4" s="7" t="s">
        <v>7</v>
      </c>
      <c r="G4" s="7" t="s">
        <v>17</v>
      </c>
      <c r="H4" s="7" t="str">
        <f>VLOOKUP(G4,'Z0000002-508684 BOM triển k hai'!$G$3:$H$42,2,0)</f>
        <v>CG</v>
      </c>
      <c r="I4" s="7">
        <f t="shared" ref="I4:I38" si="0">C4*$I$1</f>
        <v>8</v>
      </c>
      <c r="J4" s="7">
        <f t="shared" ref="J4:J38" si="1">$J$1*C4</f>
        <v>48</v>
      </c>
      <c r="K4" s="7" t="s">
        <v>7</v>
      </c>
      <c r="L4" s="7" t="s">
        <v>7</v>
      </c>
      <c r="M4" s="7"/>
      <c r="N4" s="7" t="s">
        <v>7</v>
      </c>
      <c r="O4" s="7" t="s">
        <v>7</v>
      </c>
      <c r="P4" s="7"/>
      <c r="Q4" s="7" t="s">
        <v>7</v>
      </c>
    </row>
    <row r="5" spans="1:17" s="4" customFormat="1" ht="81" hidden="1" customHeight="1" x14ac:dyDescent="0.25">
      <c r="A5" s="3" t="s">
        <v>7</v>
      </c>
      <c r="B5" s="13" t="s">
        <v>277</v>
      </c>
      <c r="C5" s="7" t="s">
        <v>8</v>
      </c>
      <c r="D5" s="7" t="s">
        <v>94</v>
      </c>
      <c r="E5" s="7" t="str">
        <f>E3</f>
        <v>PB108</v>
      </c>
      <c r="F5" s="7" t="s">
        <v>7</v>
      </c>
      <c r="G5" s="7" t="s">
        <v>95</v>
      </c>
      <c r="H5" s="7" t="str">
        <f>H3</f>
        <v>GTAM</v>
      </c>
      <c r="I5" s="7">
        <f t="shared" si="0"/>
        <v>4</v>
      </c>
      <c r="J5" s="7">
        <f t="shared" si="1"/>
        <v>24</v>
      </c>
      <c r="K5" s="7" t="s">
        <v>532</v>
      </c>
      <c r="L5" s="7" t="s">
        <v>7</v>
      </c>
      <c r="M5" s="7"/>
      <c r="N5" s="7" t="s">
        <v>7</v>
      </c>
      <c r="O5" s="7" t="s">
        <v>7</v>
      </c>
      <c r="P5" s="7"/>
      <c r="Q5" s="7" t="s">
        <v>7</v>
      </c>
    </row>
    <row r="6" spans="1:17" s="4" customFormat="1" ht="81" hidden="1" customHeight="1" x14ac:dyDescent="0.25">
      <c r="A6" s="3" t="s">
        <v>7</v>
      </c>
      <c r="B6" s="13" t="s">
        <v>278</v>
      </c>
      <c r="C6" s="7" t="s">
        <v>8</v>
      </c>
      <c r="D6" s="7" t="s">
        <v>96</v>
      </c>
      <c r="E6" s="7" t="str">
        <f>E5</f>
        <v>PB108</v>
      </c>
      <c r="F6" s="7" t="s">
        <v>7</v>
      </c>
      <c r="G6" s="7" t="s">
        <v>97</v>
      </c>
      <c r="H6" s="7" t="str">
        <f>H5</f>
        <v>GTAM</v>
      </c>
      <c r="I6" s="7">
        <f t="shared" si="0"/>
        <v>4</v>
      </c>
      <c r="J6" s="7">
        <f t="shared" si="1"/>
        <v>24</v>
      </c>
      <c r="K6" s="7" t="s">
        <v>532</v>
      </c>
      <c r="L6" s="7" t="s">
        <v>7</v>
      </c>
      <c r="M6" s="7"/>
      <c r="N6" s="7" t="s">
        <v>7</v>
      </c>
      <c r="O6" s="7" t="s">
        <v>7</v>
      </c>
      <c r="P6" s="7"/>
      <c r="Q6" s="7" t="s">
        <v>7</v>
      </c>
    </row>
    <row r="7" spans="1:17" s="4" customFormat="1" ht="81" hidden="1" customHeight="1" x14ac:dyDescent="0.25">
      <c r="A7" s="3" t="s">
        <v>7</v>
      </c>
      <c r="B7" s="13" t="s">
        <v>279</v>
      </c>
      <c r="C7" s="7" t="s">
        <v>8</v>
      </c>
      <c r="D7" s="7" t="s">
        <v>98</v>
      </c>
      <c r="E7" s="7" t="str">
        <f>VLOOKUP(G7,'Z0000002-508684 BOM triển k hai'!$G$3:$R$42,12,0)</f>
        <v>AL6061 anode đen</v>
      </c>
      <c r="F7" s="7" t="s">
        <v>7</v>
      </c>
      <c r="G7" s="7" t="s">
        <v>30</v>
      </c>
      <c r="H7" s="7" t="str">
        <f>VLOOKUP(G7,'Z0000002-508684 BOM triển k hai'!$G$3:$H$42,2,0)</f>
        <v>GTAM</v>
      </c>
      <c r="I7" s="7">
        <f t="shared" si="0"/>
        <v>4</v>
      </c>
      <c r="J7" s="7">
        <f t="shared" si="1"/>
        <v>24</v>
      </c>
      <c r="K7" s="7" t="s">
        <v>536</v>
      </c>
      <c r="L7" s="7" t="s">
        <v>7</v>
      </c>
      <c r="M7" s="7"/>
      <c r="N7" s="7" t="s">
        <v>7</v>
      </c>
      <c r="O7" s="7" t="s">
        <v>7</v>
      </c>
      <c r="P7" s="7"/>
      <c r="Q7" s="7" t="s">
        <v>7</v>
      </c>
    </row>
    <row r="8" spans="1:17" s="4" customFormat="1" ht="81" hidden="1" customHeight="1" x14ac:dyDescent="0.25">
      <c r="A8" s="3" t="s">
        <v>7</v>
      </c>
      <c r="B8" s="13" t="s">
        <v>280</v>
      </c>
      <c r="C8" s="7" t="s">
        <v>8</v>
      </c>
      <c r="D8" s="7" t="s">
        <v>99</v>
      </c>
      <c r="E8" s="7" t="str">
        <f>VLOOKUP(G8,'Z0000002-508684 BOM triển k hai'!$G$3:$R$42,12,0)</f>
        <v>AL6061 anode đen</v>
      </c>
      <c r="F8" s="7" t="s">
        <v>7</v>
      </c>
      <c r="G8" s="7" t="s">
        <v>33</v>
      </c>
      <c r="H8" s="7" t="str">
        <f>VLOOKUP(G8,'Z0000002-508684 BOM triển k hai'!$G$3:$H$42,2,0)</f>
        <v>GTAM</v>
      </c>
      <c r="I8" s="7">
        <f t="shared" si="0"/>
        <v>4</v>
      </c>
      <c r="J8" s="7">
        <f t="shared" si="1"/>
        <v>24</v>
      </c>
      <c r="K8" s="7" t="s">
        <v>536</v>
      </c>
      <c r="L8" s="7" t="s">
        <v>7</v>
      </c>
      <c r="M8" s="7"/>
      <c r="N8" s="7" t="s">
        <v>7</v>
      </c>
      <c r="O8" s="7" t="s">
        <v>7</v>
      </c>
      <c r="P8" s="7"/>
      <c r="Q8" s="7" t="s">
        <v>7</v>
      </c>
    </row>
    <row r="9" spans="1:17" s="4" customFormat="1" ht="81" hidden="1" customHeight="1" x14ac:dyDescent="0.25">
      <c r="A9" s="3" t="s">
        <v>7</v>
      </c>
      <c r="B9" s="13" t="s">
        <v>281</v>
      </c>
      <c r="C9" s="7" t="s">
        <v>8</v>
      </c>
      <c r="D9" s="7" t="s">
        <v>20</v>
      </c>
      <c r="E9" s="7" t="str">
        <f>VLOOKUP(G9,'Z0000002-508684 BOM triển k hai'!$G$3:$R$42,12,0)</f>
        <v>HTPA18S5M100-A-N8-FC30.0 đổi sang HTPA18S5M150-A-N8-FC30.0</v>
      </c>
      <c r="F9" s="7" t="s">
        <v>7</v>
      </c>
      <c r="G9" s="7" t="s">
        <v>21</v>
      </c>
      <c r="H9" s="7" t="str">
        <f>VLOOKUP(G9,'Z0000002-508684 BOM triển k hai'!$G$3:$H$42,2,0)</f>
        <v>UP</v>
      </c>
      <c r="I9" s="7">
        <f t="shared" si="0"/>
        <v>4</v>
      </c>
      <c r="J9" s="7">
        <f t="shared" si="1"/>
        <v>24</v>
      </c>
      <c r="K9" s="7" t="s">
        <v>7</v>
      </c>
      <c r="L9" s="7" t="s">
        <v>7</v>
      </c>
      <c r="M9" s="7"/>
      <c r="N9" s="7" t="s">
        <v>7</v>
      </c>
      <c r="O9" s="7" t="s">
        <v>7</v>
      </c>
      <c r="P9" s="7"/>
      <c r="Q9" s="7" t="s">
        <v>7</v>
      </c>
    </row>
    <row r="10" spans="1:17" s="4" customFormat="1" ht="81" hidden="1" customHeight="1" x14ac:dyDescent="0.25">
      <c r="A10" s="3" t="s">
        <v>7</v>
      </c>
      <c r="B10" s="13" t="s">
        <v>282</v>
      </c>
      <c r="C10" s="7" t="s">
        <v>8</v>
      </c>
      <c r="D10" s="7" t="s">
        <v>36</v>
      </c>
      <c r="E10" s="7" t="str">
        <f>VLOOKUP(G10,'Z0000002-508684 BOM triển k hai'!$G$3:$R$42,12,0)</f>
        <v>AL6061 anode đen</v>
      </c>
      <c r="F10" s="7" t="s">
        <v>7</v>
      </c>
      <c r="G10" s="7" t="s">
        <v>37</v>
      </c>
      <c r="H10" s="7" t="str">
        <f>VLOOKUP(G10,'Z0000002-508684 BOM triển k hai'!$G$3:$H$42,2,0)</f>
        <v>GTAM</v>
      </c>
      <c r="I10" s="7">
        <f t="shared" si="0"/>
        <v>4</v>
      </c>
      <c r="J10" s="7">
        <f t="shared" si="1"/>
        <v>24</v>
      </c>
      <c r="K10" s="7" t="s">
        <v>536</v>
      </c>
      <c r="L10" s="7" t="s">
        <v>7</v>
      </c>
      <c r="M10" s="7"/>
      <c r="N10" s="7" t="s">
        <v>7</v>
      </c>
      <c r="O10" s="7" t="s">
        <v>7</v>
      </c>
      <c r="P10" s="7"/>
      <c r="Q10" s="7" t="s">
        <v>7</v>
      </c>
    </row>
    <row r="11" spans="1:17" s="4" customFormat="1" ht="81" hidden="1" customHeight="1" x14ac:dyDescent="0.25">
      <c r="A11" s="3" t="s">
        <v>7</v>
      </c>
      <c r="B11" s="13" t="s">
        <v>283</v>
      </c>
      <c r="C11" s="7" t="s">
        <v>8</v>
      </c>
      <c r="D11" s="7" t="s">
        <v>9</v>
      </c>
      <c r="E11" s="7" t="str">
        <f>VLOOKUP(G11,'Z0000002-508684 BOM triển k hai'!$G$3:$R$42,12,0)</f>
        <v>TTBU250T5-100 --&gt; đổi sang C-TTBN250T5-150</v>
      </c>
      <c r="F11" s="7" t="s">
        <v>7</v>
      </c>
      <c r="G11" s="7" t="s">
        <v>10</v>
      </c>
      <c r="H11" s="7" t="str">
        <f>VLOOKUP(G11,'Z0000002-508684 BOM triển k hai'!$G$3:$H$42,2,0)</f>
        <v>MI</v>
      </c>
      <c r="I11" s="7">
        <f t="shared" si="0"/>
        <v>4</v>
      </c>
      <c r="J11" s="7">
        <f t="shared" si="1"/>
        <v>24</v>
      </c>
      <c r="K11" s="7" t="s">
        <v>7</v>
      </c>
      <c r="L11" s="7" t="s">
        <v>7</v>
      </c>
      <c r="M11" s="7"/>
      <c r="N11" s="7" t="s">
        <v>7</v>
      </c>
      <c r="O11" s="7" t="s">
        <v>7</v>
      </c>
      <c r="P11" s="7"/>
      <c r="Q11" s="7" t="s">
        <v>7</v>
      </c>
    </row>
    <row r="12" spans="1:17" s="4" customFormat="1" ht="81" hidden="1" customHeight="1" x14ac:dyDescent="0.25">
      <c r="A12" s="3" t="s">
        <v>7</v>
      </c>
      <c r="B12" s="13" t="s">
        <v>284</v>
      </c>
      <c r="C12" s="7" t="s">
        <v>13</v>
      </c>
      <c r="D12" s="7" t="s">
        <v>100</v>
      </c>
      <c r="E12" s="7" t="str">
        <f>VLOOKUP(G12,'Z0000002-508684 BOM triển k hai'!$G$3:$R$42,12,0)</f>
        <v>belt PU đen, chống tĩnh điện, ép viền chống xước, dày 1.5mm, bản rộng 20mm, chu vi 890mm( đo mép trong 895mm, chốt cân chỉnh đang ở giữa )</v>
      </c>
      <c r="F12" s="7" t="s">
        <v>7</v>
      </c>
      <c r="G12" s="7" t="s">
        <v>28</v>
      </c>
      <c r="H12" s="7" t="str">
        <f>VLOOKUP(G12,'Z0000002-508684 BOM triển k hai'!$G$3:$H$42,2,0)</f>
        <v>Belt</v>
      </c>
      <c r="I12" s="7">
        <f t="shared" si="0"/>
        <v>8</v>
      </c>
      <c r="J12" s="7">
        <f t="shared" si="1"/>
        <v>48</v>
      </c>
      <c r="K12" s="7" t="s">
        <v>7</v>
      </c>
      <c r="L12" s="7" t="s">
        <v>7</v>
      </c>
      <c r="M12" s="7"/>
      <c r="N12" s="7" t="s">
        <v>7</v>
      </c>
      <c r="O12" s="7" t="s">
        <v>7</v>
      </c>
      <c r="P12" s="7"/>
      <c r="Q12" s="7" t="s">
        <v>7</v>
      </c>
    </row>
    <row r="13" spans="1:17" s="4" customFormat="1" ht="81" hidden="1" customHeight="1" x14ac:dyDescent="0.25">
      <c r="A13" s="3" t="s">
        <v>7</v>
      </c>
      <c r="B13" s="13" t="s">
        <v>285</v>
      </c>
      <c r="C13" s="7" t="s">
        <v>13</v>
      </c>
      <c r="D13" s="7" t="s">
        <v>25</v>
      </c>
      <c r="E13" s="7" t="str">
        <f>VLOOKUP(G13,'Z0000002-508684 BOM triển k hai'!$G$3:$R$42,12,0)</f>
        <v>PB108</v>
      </c>
      <c r="F13" s="7" t="s">
        <v>7</v>
      </c>
      <c r="G13" s="7" t="s">
        <v>26</v>
      </c>
      <c r="H13" s="7" t="str">
        <f>VLOOKUP(G13,'Z0000002-508684 BOM triển k hai'!$G$3:$H$42,2,0)</f>
        <v>GTAM</v>
      </c>
      <c r="I13" s="7">
        <f t="shared" si="0"/>
        <v>8</v>
      </c>
      <c r="J13" s="7">
        <f t="shared" si="1"/>
        <v>48</v>
      </c>
      <c r="K13" s="7" t="s">
        <v>532</v>
      </c>
      <c r="L13" s="7" t="s">
        <v>7</v>
      </c>
      <c r="M13" s="7"/>
      <c r="N13" s="7" t="s">
        <v>7</v>
      </c>
      <c r="O13" s="7" t="s">
        <v>7</v>
      </c>
      <c r="P13" s="7"/>
      <c r="Q13" s="7" t="s">
        <v>7</v>
      </c>
    </row>
    <row r="14" spans="1:17" s="4" customFormat="1" ht="81" hidden="1" customHeight="1" x14ac:dyDescent="0.25">
      <c r="A14" s="3" t="s">
        <v>7</v>
      </c>
      <c r="B14" s="13" t="s">
        <v>286</v>
      </c>
      <c r="C14" s="7" t="s">
        <v>8</v>
      </c>
      <c r="D14" s="7" t="s">
        <v>101</v>
      </c>
      <c r="E14" s="7" t="str">
        <f>VLOOKUP(G14,'Z0000002-508684 BOM triển k hai'!$G$3:$R$42,12,0)</f>
        <v>AL6061 anode đen</v>
      </c>
      <c r="F14" s="7" t="s">
        <v>7</v>
      </c>
      <c r="G14" s="7" t="s">
        <v>30</v>
      </c>
      <c r="H14" s="7" t="str">
        <f>VLOOKUP(G14,'Z0000002-508684 BOM triển k hai'!$G$3:$H$42,2,0)</f>
        <v>GTAM</v>
      </c>
      <c r="I14" s="7">
        <f t="shared" si="0"/>
        <v>4</v>
      </c>
      <c r="J14" s="7">
        <f t="shared" si="1"/>
        <v>24</v>
      </c>
      <c r="K14" s="7" t="s">
        <v>536</v>
      </c>
      <c r="L14" s="7" t="s">
        <v>7</v>
      </c>
      <c r="M14" s="7"/>
      <c r="N14" s="7" t="s">
        <v>7</v>
      </c>
      <c r="O14" s="7" t="s">
        <v>7</v>
      </c>
      <c r="P14" s="7"/>
      <c r="Q14" s="7" t="s">
        <v>7</v>
      </c>
    </row>
    <row r="15" spans="1:17" s="4" customFormat="1" ht="81" hidden="1" customHeight="1" x14ac:dyDescent="0.25">
      <c r="A15" s="3" t="s">
        <v>7</v>
      </c>
      <c r="B15" s="13" t="s">
        <v>287</v>
      </c>
      <c r="C15" s="7" t="s">
        <v>8</v>
      </c>
      <c r="D15" s="7" t="s">
        <v>102</v>
      </c>
      <c r="E15" s="7" t="s">
        <v>488</v>
      </c>
      <c r="F15" s="7" t="s">
        <v>7</v>
      </c>
      <c r="G15" s="7" t="s">
        <v>103</v>
      </c>
      <c r="H15" s="7" t="s">
        <v>487</v>
      </c>
      <c r="I15" s="7">
        <f t="shared" si="0"/>
        <v>4</v>
      </c>
      <c r="J15" s="7">
        <f t="shared" si="1"/>
        <v>24</v>
      </c>
      <c r="K15" s="7" t="s">
        <v>7</v>
      </c>
      <c r="L15" s="7" t="s">
        <v>7</v>
      </c>
      <c r="M15" s="7"/>
      <c r="N15" s="7" t="s">
        <v>7</v>
      </c>
      <c r="O15" s="7" t="s">
        <v>7</v>
      </c>
      <c r="P15" s="7"/>
      <c r="Q15" s="7" t="s">
        <v>7</v>
      </c>
    </row>
    <row r="16" spans="1:17" s="4" customFormat="1" ht="81" hidden="1" customHeight="1" x14ac:dyDescent="0.25">
      <c r="A16" s="3" t="s">
        <v>7</v>
      </c>
      <c r="B16" s="13" t="s">
        <v>288</v>
      </c>
      <c r="C16" s="7" t="s">
        <v>8</v>
      </c>
      <c r="D16" s="7" t="s">
        <v>104</v>
      </c>
      <c r="E16" s="7" t="str">
        <f>E15</f>
        <v>SUS304, điện hóa</v>
      </c>
      <c r="F16" s="7" t="s">
        <v>7</v>
      </c>
      <c r="G16" s="7" t="s">
        <v>105</v>
      </c>
      <c r="H16" s="7" t="str">
        <f>H15</f>
        <v>CG</v>
      </c>
      <c r="I16" s="7">
        <f t="shared" si="0"/>
        <v>4</v>
      </c>
      <c r="J16" s="7">
        <f t="shared" si="1"/>
        <v>24</v>
      </c>
      <c r="K16" s="7" t="s">
        <v>7</v>
      </c>
      <c r="L16" s="7" t="s">
        <v>7</v>
      </c>
      <c r="M16" s="7"/>
      <c r="N16" s="7" t="s">
        <v>7</v>
      </c>
      <c r="O16" s="7" t="s">
        <v>7</v>
      </c>
      <c r="P16" s="7"/>
      <c r="Q16" s="7" t="s">
        <v>7</v>
      </c>
    </row>
    <row r="17" spans="1:17" s="4" customFormat="1" ht="81" hidden="1" customHeight="1" x14ac:dyDescent="0.25">
      <c r="A17" s="3" t="s">
        <v>7</v>
      </c>
      <c r="B17" s="13" t="s">
        <v>289</v>
      </c>
      <c r="C17" s="7" t="s">
        <v>8</v>
      </c>
      <c r="D17" s="7" t="s">
        <v>106</v>
      </c>
      <c r="E17" s="7" t="str">
        <f>E14</f>
        <v>AL6061 anode đen</v>
      </c>
      <c r="F17" s="7" t="s">
        <v>7</v>
      </c>
      <c r="G17" s="7" t="s">
        <v>107</v>
      </c>
      <c r="H17" s="7" t="str">
        <f>H14</f>
        <v>GTAM</v>
      </c>
      <c r="I17" s="7">
        <f t="shared" si="0"/>
        <v>4</v>
      </c>
      <c r="J17" s="7">
        <f t="shared" si="1"/>
        <v>24</v>
      </c>
      <c r="K17" s="7" t="s">
        <v>536</v>
      </c>
      <c r="L17" s="7" t="s">
        <v>7</v>
      </c>
      <c r="M17" s="7"/>
      <c r="N17" s="7" t="s">
        <v>7</v>
      </c>
      <c r="O17" s="7" t="s">
        <v>7</v>
      </c>
      <c r="P17" s="7"/>
      <c r="Q17" s="7" t="s">
        <v>7</v>
      </c>
    </row>
    <row r="18" spans="1:17" s="4" customFormat="1" ht="81" customHeight="1" x14ac:dyDescent="0.25">
      <c r="A18" s="3" t="s">
        <v>7</v>
      </c>
      <c r="B18" s="13" t="s">
        <v>290</v>
      </c>
      <c r="C18" s="7" t="s">
        <v>8</v>
      </c>
      <c r="D18" s="7" t="s">
        <v>38</v>
      </c>
      <c r="E18" s="7" t="s">
        <v>560</v>
      </c>
      <c r="F18" s="7" t="s">
        <v>7</v>
      </c>
      <c r="G18" s="7" t="s">
        <v>39</v>
      </c>
      <c r="H18" s="7" t="str">
        <f>VLOOKUP(G18,'Z0000002-508684 BOM triển k hai'!$G$3:$H$42,2,0)</f>
        <v>SPG</v>
      </c>
      <c r="I18" s="7">
        <f t="shared" si="0"/>
        <v>4</v>
      </c>
      <c r="J18" s="7">
        <f t="shared" si="1"/>
        <v>24</v>
      </c>
      <c r="K18" s="7" t="s">
        <v>7</v>
      </c>
      <c r="L18" s="7" t="s">
        <v>7</v>
      </c>
      <c r="M18" s="7"/>
      <c r="N18" s="7" t="s">
        <v>7</v>
      </c>
      <c r="O18" s="7" t="s">
        <v>7</v>
      </c>
      <c r="P18" s="7"/>
      <c r="Q18" s="7" t="s">
        <v>7</v>
      </c>
    </row>
    <row r="19" spans="1:17" s="4" customFormat="1" ht="81" customHeight="1" x14ac:dyDescent="0.25">
      <c r="A19" s="3" t="s">
        <v>7</v>
      </c>
      <c r="B19" s="13" t="s">
        <v>291</v>
      </c>
      <c r="C19" s="7" t="s">
        <v>8</v>
      </c>
      <c r="D19" s="7" t="s">
        <v>40</v>
      </c>
      <c r="E19" s="7" t="str">
        <f>VLOOKUP(G19,'Z0000002-508684 BOM triển k hai'!$G$3:$R$42,12,0)</f>
        <v>hộp số S6KA15B</v>
      </c>
      <c r="F19" s="7" t="s">
        <v>7</v>
      </c>
      <c r="G19" s="7" t="s">
        <v>41</v>
      </c>
      <c r="H19" s="7" t="str">
        <f>VLOOKUP(G19,'Z0000002-508684 BOM triển k hai'!$G$3:$H$42,2,0)</f>
        <v>SPG</v>
      </c>
      <c r="I19" s="7">
        <f t="shared" si="0"/>
        <v>4</v>
      </c>
      <c r="J19" s="7">
        <f t="shared" si="1"/>
        <v>24</v>
      </c>
      <c r="K19" s="7" t="s">
        <v>7</v>
      </c>
      <c r="L19" s="7" t="s">
        <v>7</v>
      </c>
      <c r="M19" s="7"/>
      <c r="N19" s="7" t="s">
        <v>7</v>
      </c>
      <c r="O19" s="7" t="s">
        <v>7</v>
      </c>
      <c r="P19" s="7"/>
      <c r="Q19" s="7" t="s">
        <v>7</v>
      </c>
    </row>
    <row r="20" spans="1:17" s="4" customFormat="1" ht="81" hidden="1" customHeight="1" x14ac:dyDescent="0.25">
      <c r="A20" s="3" t="s">
        <v>7</v>
      </c>
      <c r="B20" s="13" t="s">
        <v>292</v>
      </c>
      <c r="C20" s="7" t="s">
        <v>8</v>
      </c>
      <c r="D20" s="7" t="s">
        <v>42</v>
      </c>
      <c r="E20" s="7" t="str">
        <f>VLOOKUP(G20,'Z0000002-508684 BOM triển k hai'!$G$3:$R$42,12,0)</f>
        <v>Chốt cài KES-12</v>
      </c>
      <c r="F20" s="7" t="s">
        <v>7</v>
      </c>
      <c r="G20" s="7" t="s">
        <v>43</v>
      </c>
      <c r="H20" s="7" t="str">
        <f>VLOOKUP(G20,'Z0000002-508684 BOM triển k hai'!$G$3:$H$42,2,0)</f>
        <v>Chốt cài</v>
      </c>
      <c r="I20" s="7">
        <f t="shared" si="0"/>
        <v>4</v>
      </c>
      <c r="J20" s="7">
        <f t="shared" si="1"/>
        <v>24</v>
      </c>
      <c r="K20" s="7" t="s">
        <v>7</v>
      </c>
      <c r="L20" s="7" t="s">
        <v>7</v>
      </c>
      <c r="M20" s="7"/>
      <c r="N20" s="7" t="s">
        <v>7</v>
      </c>
      <c r="O20" s="7" t="s">
        <v>7</v>
      </c>
      <c r="P20" s="7"/>
      <c r="Q20" s="7" t="s">
        <v>7</v>
      </c>
    </row>
    <row r="21" spans="1:17" s="4" customFormat="1" ht="81" hidden="1" customHeight="1" x14ac:dyDescent="0.25">
      <c r="A21" s="3" t="s">
        <v>7</v>
      </c>
      <c r="B21" s="13" t="s">
        <v>293</v>
      </c>
      <c r="C21" s="7" t="s">
        <v>57</v>
      </c>
      <c r="D21" s="7" t="s">
        <v>58</v>
      </c>
      <c r="E21" s="7" t="str">
        <f>VLOOKUP(G21,'Z0000002-508684 BOM triển k hai'!$G$3:$R$42,12,0)</f>
        <v>Phanh trục STWN8</v>
      </c>
      <c r="F21" s="7" t="s">
        <v>7</v>
      </c>
      <c r="G21" s="7" t="s">
        <v>59</v>
      </c>
      <c r="H21" s="7" t="str">
        <f>VLOOKUP(G21,'Z0000002-508684 BOM triển k hai'!$G$3:$H$42,2,0)</f>
        <v>Phanh trục</v>
      </c>
      <c r="I21" s="7">
        <f t="shared" si="0"/>
        <v>32</v>
      </c>
      <c r="J21" s="7">
        <f t="shared" si="1"/>
        <v>192</v>
      </c>
      <c r="K21" s="7" t="s">
        <v>7</v>
      </c>
      <c r="L21" s="7" t="s">
        <v>7</v>
      </c>
      <c r="M21" s="7"/>
      <c r="N21" s="7" t="s">
        <v>7</v>
      </c>
      <c r="O21" s="7" t="s">
        <v>7</v>
      </c>
      <c r="P21" s="7"/>
      <c r="Q21" s="7" t="s">
        <v>7</v>
      </c>
    </row>
    <row r="22" spans="1:17" s="4" customFormat="1" ht="81" hidden="1" customHeight="1" x14ac:dyDescent="0.25">
      <c r="A22" s="3" t="s">
        <v>7</v>
      </c>
      <c r="B22" s="13" t="s">
        <v>294</v>
      </c>
      <c r="C22" s="7" t="s">
        <v>49</v>
      </c>
      <c r="D22" s="7" t="s">
        <v>50</v>
      </c>
      <c r="E22" s="7" t="str">
        <f>VLOOKUP(G22,'Z0000002-508684 BOM triển k hai'!$G$3:$R$42,12,0)</f>
        <v>Rulo</v>
      </c>
      <c r="F22" s="7" t="s">
        <v>7</v>
      </c>
      <c r="G22" s="7" t="s">
        <v>51</v>
      </c>
      <c r="H22" s="7" t="str">
        <f>VLOOKUP(G22,'Z0000002-508684 BOM triển k hai'!$G$3:$H$42,2,0)</f>
        <v>TT</v>
      </c>
      <c r="I22" s="7">
        <f t="shared" si="0"/>
        <v>16</v>
      </c>
      <c r="J22" s="7">
        <f t="shared" si="1"/>
        <v>96</v>
      </c>
      <c r="K22" s="7" t="s">
        <v>7</v>
      </c>
      <c r="L22" s="7" t="s">
        <v>7</v>
      </c>
      <c r="M22" s="7"/>
      <c r="N22" s="7" t="s">
        <v>7</v>
      </c>
      <c r="O22" s="7" t="s">
        <v>7</v>
      </c>
      <c r="P22" s="7"/>
      <c r="Q22" s="7" t="s">
        <v>7</v>
      </c>
    </row>
    <row r="23" spans="1:17" s="4" customFormat="1" ht="81" hidden="1" customHeight="1" x14ac:dyDescent="0.25">
      <c r="A23" s="3" t="s">
        <v>7</v>
      </c>
      <c r="B23" s="13" t="s">
        <v>295</v>
      </c>
      <c r="C23" s="7" t="s">
        <v>52</v>
      </c>
      <c r="D23" s="7" t="s">
        <v>53</v>
      </c>
      <c r="E23" s="7" t="str">
        <f>VLOOKUP(G23,'Z0000002-508684 BOM triển k hai'!$G$3:$R$42,12,0)</f>
        <v>Vòng bi SB688ZZ --&gt; đổi sang C-SE688ZZ</v>
      </c>
      <c r="F23" s="7" t="s">
        <v>7</v>
      </c>
      <c r="G23" s="7" t="s">
        <v>54</v>
      </c>
      <c r="H23" s="7" t="str">
        <f>VLOOKUP(G23,'Z0000002-508684 BOM triển k hai'!$G$3:$H$42,2,0)</f>
        <v>VB C-SE688ZZ</v>
      </c>
      <c r="I23" s="7">
        <f t="shared" si="0"/>
        <v>64</v>
      </c>
      <c r="J23" s="7">
        <f t="shared" si="1"/>
        <v>384</v>
      </c>
      <c r="K23" s="7" t="s">
        <v>7</v>
      </c>
      <c r="L23" s="7" t="s">
        <v>7</v>
      </c>
      <c r="M23" s="7"/>
      <c r="N23" s="7" t="s">
        <v>7</v>
      </c>
      <c r="O23" s="7" t="s">
        <v>7</v>
      </c>
      <c r="P23" s="7"/>
      <c r="Q23" s="7" t="s">
        <v>7</v>
      </c>
    </row>
    <row r="24" spans="1:17" s="4" customFormat="1" ht="81" hidden="1" customHeight="1" x14ac:dyDescent="0.25">
      <c r="A24" s="3" t="s">
        <v>7</v>
      </c>
      <c r="B24" s="13" t="s">
        <v>296</v>
      </c>
      <c r="C24" s="7" t="s">
        <v>13</v>
      </c>
      <c r="D24" s="7" t="s">
        <v>55</v>
      </c>
      <c r="E24" s="7" t="str">
        <f>VLOOKUP(G24,'Z0000002-508684 BOM triển k hai'!$G$3:$R$42,12,0)</f>
        <v>SUS304, điện hóa</v>
      </c>
      <c r="F24" s="7" t="s">
        <v>7</v>
      </c>
      <c r="G24" s="7" t="s">
        <v>56</v>
      </c>
      <c r="H24" s="7" t="str">
        <f>VLOOKUP(G24,'Z0000002-508684 BOM triển k hai'!$G$3:$H$42,2,0)</f>
        <v>TT</v>
      </c>
      <c r="I24" s="7">
        <f t="shared" si="0"/>
        <v>8</v>
      </c>
      <c r="J24" s="7">
        <f t="shared" si="1"/>
        <v>48</v>
      </c>
      <c r="K24" s="7" t="s">
        <v>7</v>
      </c>
      <c r="L24" s="7" t="s">
        <v>7</v>
      </c>
      <c r="M24" s="7"/>
      <c r="N24" s="7" t="s">
        <v>7</v>
      </c>
      <c r="O24" s="7" t="s">
        <v>7</v>
      </c>
      <c r="P24" s="7"/>
      <c r="Q24" s="7" t="s">
        <v>7</v>
      </c>
    </row>
    <row r="25" spans="1:17" s="4" customFormat="1" ht="81" hidden="1" customHeight="1" x14ac:dyDescent="0.25">
      <c r="A25" s="3" t="s">
        <v>7</v>
      </c>
      <c r="B25" s="13" t="s">
        <v>297</v>
      </c>
      <c r="C25" s="7" t="s">
        <v>49</v>
      </c>
      <c r="D25" s="7" t="s">
        <v>60</v>
      </c>
      <c r="E25" s="7" t="str">
        <f>VLOOKUP(G25,'Z0000002-508684 BOM triển k hai'!$G$3:$R$42,12,0)</f>
        <v>Rulo</v>
      </c>
      <c r="F25" s="7" t="s">
        <v>7</v>
      </c>
      <c r="G25" s="7" t="s">
        <v>61</v>
      </c>
      <c r="H25" s="7" t="str">
        <f>VLOOKUP(G25,'Z0000002-508684 BOM triển k hai'!$G$3:$H$42,2,0)</f>
        <v>TT</v>
      </c>
      <c r="I25" s="7">
        <f t="shared" si="0"/>
        <v>16</v>
      </c>
      <c r="J25" s="7">
        <f t="shared" si="1"/>
        <v>96</v>
      </c>
      <c r="K25" s="7" t="s">
        <v>7</v>
      </c>
      <c r="L25" s="7" t="s">
        <v>7</v>
      </c>
      <c r="M25" s="7"/>
      <c r="N25" s="7" t="s">
        <v>7</v>
      </c>
      <c r="O25" s="7" t="s">
        <v>7</v>
      </c>
      <c r="P25" s="7"/>
      <c r="Q25" s="7" t="s">
        <v>7</v>
      </c>
    </row>
    <row r="26" spans="1:17" s="4" customFormat="1" ht="81" hidden="1" customHeight="1" x14ac:dyDescent="0.25">
      <c r="A26" s="3" t="s">
        <v>7</v>
      </c>
      <c r="B26" s="13" t="s">
        <v>298</v>
      </c>
      <c r="C26" s="7" t="s">
        <v>49</v>
      </c>
      <c r="D26" s="7" t="s">
        <v>62</v>
      </c>
      <c r="E26" s="7" t="str">
        <f>VLOOKUP(G26,'Z0000002-508684 BOM triển k hai'!$G$3:$R$42,12,0)</f>
        <v>SUS304, điện hóa</v>
      </c>
      <c r="F26" s="7" t="s">
        <v>7</v>
      </c>
      <c r="G26" s="7" t="s">
        <v>63</v>
      </c>
      <c r="H26" s="7" t="str">
        <f>VLOOKUP(G26,'Z0000002-508684 BOM triển k hai'!$G$3:$H$42,2,0)</f>
        <v>TT</v>
      </c>
      <c r="I26" s="7">
        <f t="shared" si="0"/>
        <v>16</v>
      </c>
      <c r="J26" s="7">
        <f t="shared" si="1"/>
        <v>96</v>
      </c>
      <c r="K26" s="7" t="s">
        <v>7</v>
      </c>
      <c r="L26" s="7" t="s">
        <v>7</v>
      </c>
      <c r="M26" s="7"/>
      <c r="N26" s="7" t="s">
        <v>7</v>
      </c>
      <c r="O26" s="7" t="s">
        <v>7</v>
      </c>
      <c r="P26" s="7"/>
      <c r="Q26" s="7" t="s">
        <v>7</v>
      </c>
    </row>
    <row r="27" spans="1:17" s="4" customFormat="1" ht="81" hidden="1" customHeight="1" x14ac:dyDescent="0.25">
      <c r="A27" s="3" t="s">
        <v>7</v>
      </c>
      <c r="B27" s="13" t="s">
        <v>299</v>
      </c>
      <c r="C27" s="7" t="s">
        <v>13</v>
      </c>
      <c r="D27" s="7" t="s">
        <v>77</v>
      </c>
      <c r="E27" s="7" t="str">
        <f>VLOOKUP(G27,'Z0000002-508684 BOM triển k hai'!$G$3:$R$42,12,0)</f>
        <v>SUS304, điện hóa</v>
      </c>
      <c r="F27" s="7" t="s">
        <v>7</v>
      </c>
      <c r="G27" s="7" t="s">
        <v>78</v>
      </c>
      <c r="H27" s="7" t="str">
        <f>VLOOKUP(G27,'Z0000002-508684 BOM triển k hai'!$G$3:$H$42,2,0)</f>
        <v>TT</v>
      </c>
      <c r="I27" s="7">
        <f t="shared" si="0"/>
        <v>8</v>
      </c>
      <c r="J27" s="7">
        <f t="shared" si="1"/>
        <v>48</v>
      </c>
      <c r="K27" s="7" t="s">
        <v>7</v>
      </c>
      <c r="L27" s="7" t="s">
        <v>7</v>
      </c>
      <c r="M27" s="7"/>
      <c r="N27" s="7" t="s">
        <v>7</v>
      </c>
      <c r="O27" s="7" t="s">
        <v>7</v>
      </c>
      <c r="P27" s="7"/>
      <c r="Q27" s="7" t="s">
        <v>7</v>
      </c>
    </row>
    <row r="28" spans="1:17" s="4" customFormat="1" ht="81" hidden="1" customHeight="1" x14ac:dyDescent="0.25">
      <c r="A28" s="3" t="s">
        <v>7</v>
      </c>
      <c r="B28" s="13" t="s">
        <v>300</v>
      </c>
      <c r="C28" s="7" t="s">
        <v>13</v>
      </c>
      <c r="D28" s="7" t="s">
        <v>79</v>
      </c>
      <c r="E28" s="7" t="str">
        <f>VLOOKUP(G28,'Z0000002-508684 BOM triển k hai'!$G$3:$R$42,12,0)</f>
        <v>AL6061 anode đen</v>
      </c>
      <c r="F28" s="7" t="s">
        <v>7</v>
      </c>
      <c r="G28" s="7" t="s">
        <v>37</v>
      </c>
      <c r="H28" s="7" t="str">
        <f>VLOOKUP(G28,'Z0000002-508684 BOM triển k hai'!$G$3:$H$42,2,0)</f>
        <v>GTAM</v>
      </c>
      <c r="I28" s="7">
        <f t="shared" si="0"/>
        <v>8</v>
      </c>
      <c r="J28" s="7">
        <f t="shared" si="1"/>
        <v>48</v>
      </c>
      <c r="K28" s="7" t="s">
        <v>536</v>
      </c>
      <c r="L28" s="7" t="s">
        <v>7</v>
      </c>
      <c r="M28" s="7"/>
      <c r="N28" s="7" t="s">
        <v>7</v>
      </c>
      <c r="O28" s="7" t="s">
        <v>7</v>
      </c>
      <c r="P28" s="7"/>
      <c r="Q28" s="7" t="s">
        <v>7</v>
      </c>
    </row>
    <row r="29" spans="1:17" s="4" customFormat="1" ht="81" hidden="1" customHeight="1" x14ac:dyDescent="0.25">
      <c r="A29" s="3" t="s">
        <v>7</v>
      </c>
      <c r="B29" s="13" t="s">
        <v>301</v>
      </c>
      <c r="C29" s="7" t="s">
        <v>13</v>
      </c>
      <c r="D29" s="7" t="s">
        <v>80</v>
      </c>
      <c r="E29" s="7" t="str">
        <f>VLOOKUP(G29,'Z0000002-508684 BOM triển k hai'!$G$3:$R$42,12,0)</f>
        <v>AL6061 anode đen</v>
      </c>
      <c r="F29" s="7" t="s">
        <v>7</v>
      </c>
      <c r="G29" s="7" t="s">
        <v>81</v>
      </c>
      <c r="H29" s="7" t="str">
        <f>VLOOKUP(G29,'Z0000002-508684 BOM triển k hai'!$G$3:$H$42,2,0)</f>
        <v>GTAM</v>
      </c>
      <c r="I29" s="7">
        <f t="shared" si="0"/>
        <v>8</v>
      </c>
      <c r="J29" s="7">
        <f t="shared" si="1"/>
        <v>48</v>
      </c>
      <c r="K29" s="7" t="s">
        <v>536</v>
      </c>
      <c r="L29" s="7" t="s">
        <v>7</v>
      </c>
      <c r="M29" s="7"/>
      <c r="N29" s="7" t="s">
        <v>7</v>
      </c>
      <c r="O29" s="7" t="s">
        <v>7</v>
      </c>
      <c r="P29" s="7"/>
      <c r="Q29" s="7" t="s">
        <v>7</v>
      </c>
    </row>
    <row r="30" spans="1:17" s="4" customFormat="1" ht="81" hidden="1" customHeight="1" x14ac:dyDescent="0.25">
      <c r="A30" s="3" t="s">
        <v>7</v>
      </c>
      <c r="B30" s="13" t="s">
        <v>302</v>
      </c>
      <c r="C30" s="7" t="s">
        <v>8</v>
      </c>
      <c r="D30" s="7" t="s">
        <v>64</v>
      </c>
      <c r="E30" s="7" t="str">
        <f>VLOOKUP(G30,'Z0000002-508684 BOM triển k hai'!$G$3:$R$42,12,0)</f>
        <v>Trục</v>
      </c>
      <c r="F30" s="7" t="s">
        <v>7</v>
      </c>
      <c r="G30" s="7" t="s">
        <v>65</v>
      </c>
      <c r="H30" s="7" t="str">
        <f>VLOOKUP(G30,'Z0000002-508684 BOM triển k hai'!$G$3:$H$42,2,0)</f>
        <v>TT</v>
      </c>
      <c r="I30" s="7">
        <f t="shared" si="0"/>
        <v>4</v>
      </c>
      <c r="J30" s="7">
        <f t="shared" si="1"/>
        <v>24</v>
      </c>
      <c r="K30" s="7" t="s">
        <v>7</v>
      </c>
      <c r="L30" s="7" t="s">
        <v>7</v>
      </c>
      <c r="M30" s="7"/>
      <c r="N30" s="7" t="s">
        <v>7</v>
      </c>
      <c r="O30" s="7" t="s">
        <v>7</v>
      </c>
      <c r="P30" s="7"/>
      <c r="Q30" s="7" t="s">
        <v>7</v>
      </c>
    </row>
    <row r="31" spans="1:17" s="4" customFormat="1" ht="81" hidden="1" customHeight="1" x14ac:dyDescent="0.25">
      <c r="A31" s="3" t="s">
        <v>7</v>
      </c>
      <c r="B31" s="13" t="s">
        <v>303</v>
      </c>
      <c r="C31" s="7" t="s">
        <v>13</v>
      </c>
      <c r="D31" s="7" t="s">
        <v>66</v>
      </c>
      <c r="E31" s="7" t="str">
        <f>VLOOKUP(G31,'Z0000002-508684 BOM triển k hai'!$G$3:$R$42,12,0)</f>
        <v>Rulo</v>
      </c>
      <c r="F31" s="7" t="s">
        <v>7</v>
      </c>
      <c r="G31" s="7" t="s">
        <v>67</v>
      </c>
      <c r="H31" s="7" t="str">
        <f>VLOOKUP(G31,'Z0000002-508684 BOM triển k hai'!$G$3:$H$42,2,0)</f>
        <v>TT</v>
      </c>
      <c r="I31" s="7">
        <f t="shared" si="0"/>
        <v>8</v>
      </c>
      <c r="J31" s="7">
        <f t="shared" si="1"/>
        <v>48</v>
      </c>
      <c r="K31" s="7" t="s">
        <v>7</v>
      </c>
      <c r="L31" s="7" t="s">
        <v>7</v>
      </c>
      <c r="M31" s="7"/>
      <c r="N31" s="7" t="s">
        <v>7</v>
      </c>
      <c r="O31" s="7" t="s">
        <v>7</v>
      </c>
      <c r="P31" s="7"/>
      <c r="Q31" s="7" t="s">
        <v>7</v>
      </c>
    </row>
    <row r="32" spans="1:17" s="4" customFormat="1" ht="81" hidden="1" customHeight="1" x14ac:dyDescent="0.25">
      <c r="A32" s="3" t="s">
        <v>7</v>
      </c>
      <c r="B32" s="13" t="s">
        <v>304</v>
      </c>
      <c r="C32" s="7" t="s">
        <v>13</v>
      </c>
      <c r="D32" s="7" t="s">
        <v>68</v>
      </c>
      <c r="E32" s="7" t="str">
        <f>VLOOKUP(G32,'Z0000002-508684 BOM triển k hai'!$G$3:$R$42,12,0)</f>
        <v>Vòng bi SB6000ZZ --&gt; đổi sang C-SE6000ZZ</v>
      </c>
      <c r="F32" s="7" t="s">
        <v>7</v>
      </c>
      <c r="G32" s="7" t="s">
        <v>69</v>
      </c>
      <c r="H32" s="7" t="str">
        <f>VLOOKUP(G32,'Z0000002-508684 BOM triển k hai'!$G$3:$H$42,2,0)</f>
        <v>VB C-SE6000ZZ</v>
      </c>
      <c r="I32" s="7">
        <f t="shared" si="0"/>
        <v>8</v>
      </c>
      <c r="J32" s="7">
        <f t="shared" si="1"/>
        <v>48</v>
      </c>
      <c r="K32" s="7" t="s">
        <v>7</v>
      </c>
      <c r="L32" s="7" t="s">
        <v>7</v>
      </c>
      <c r="M32" s="7"/>
      <c r="N32" s="7" t="s">
        <v>7</v>
      </c>
      <c r="O32" s="7" t="s">
        <v>7</v>
      </c>
      <c r="P32" s="7"/>
      <c r="Q32" s="7" t="s">
        <v>7</v>
      </c>
    </row>
    <row r="33" spans="1:17" s="4" customFormat="1" ht="81" hidden="1" customHeight="1" x14ac:dyDescent="0.25">
      <c r="A33" s="3" t="s">
        <v>7</v>
      </c>
      <c r="B33" s="13" t="s">
        <v>305</v>
      </c>
      <c r="C33" s="7" t="s">
        <v>13</v>
      </c>
      <c r="D33" s="7" t="s">
        <v>70</v>
      </c>
      <c r="E33" s="7" t="str">
        <f>VLOOKUP(G33,'Z0000002-508684 BOM triển k hai'!$G$3:$R$42,12,0)</f>
        <v>phanh trục STWN10</v>
      </c>
      <c r="F33" s="7" t="s">
        <v>7</v>
      </c>
      <c r="G33" s="7" t="s">
        <v>71</v>
      </c>
      <c r="H33" s="7" t="str">
        <f>VLOOKUP(G33,'Z0000002-508684 BOM triển k hai'!$G$3:$H$42,2,0)</f>
        <v>Phanh trục</v>
      </c>
      <c r="I33" s="7">
        <f t="shared" si="0"/>
        <v>8</v>
      </c>
      <c r="J33" s="7">
        <f t="shared" si="1"/>
        <v>48</v>
      </c>
      <c r="K33" s="7" t="s">
        <v>7</v>
      </c>
      <c r="L33" s="7" t="s">
        <v>7</v>
      </c>
      <c r="M33" s="7"/>
      <c r="N33" s="7" t="s">
        <v>7</v>
      </c>
      <c r="O33" s="7" t="s">
        <v>7</v>
      </c>
      <c r="P33" s="7"/>
      <c r="Q33" s="7" t="s">
        <v>7</v>
      </c>
    </row>
    <row r="34" spans="1:17" s="4" customFormat="1" ht="81" hidden="1" customHeight="1" x14ac:dyDescent="0.25">
      <c r="A34" s="3" t="s">
        <v>7</v>
      </c>
      <c r="B34" s="13" t="s">
        <v>306</v>
      </c>
      <c r="C34" s="7" t="s">
        <v>8</v>
      </c>
      <c r="D34" s="7" t="s">
        <v>72</v>
      </c>
      <c r="E34" s="7" t="str">
        <f>VLOOKUP(G34,'Z0000002-508684 BOM triển k hai'!$G$3:$R$42,12,0)</f>
        <v>HTPA18S5M100-B-N10-FC30.0 đổi sang HTPA18S5M150-B-N10-FC30.0</v>
      </c>
      <c r="F34" s="7" t="s">
        <v>7</v>
      </c>
      <c r="G34" s="7" t="s">
        <v>73</v>
      </c>
      <c r="H34" s="7" t="str">
        <f>VLOOKUP(G34,'Z0000002-508684 BOM triển k hai'!$G$3:$H$42,2,0)</f>
        <v>UP</v>
      </c>
      <c r="I34" s="7">
        <f t="shared" si="0"/>
        <v>4</v>
      </c>
      <c r="J34" s="7">
        <f t="shared" si="1"/>
        <v>24</v>
      </c>
      <c r="K34" s="7" t="s">
        <v>7</v>
      </c>
      <c r="L34" s="7" t="s">
        <v>7</v>
      </c>
      <c r="M34" s="7"/>
      <c r="N34" s="7" t="s">
        <v>7</v>
      </c>
      <c r="O34" s="7" t="s">
        <v>7</v>
      </c>
      <c r="P34" s="7"/>
      <c r="Q34" s="7" t="s">
        <v>7</v>
      </c>
    </row>
    <row r="35" spans="1:17" s="4" customFormat="1" ht="81" hidden="1" customHeight="1" x14ac:dyDescent="0.25">
      <c r="A35" s="3" t="s">
        <v>7</v>
      </c>
      <c r="B35" s="13" t="s">
        <v>307</v>
      </c>
      <c r="C35" s="7" t="s">
        <v>74</v>
      </c>
      <c r="D35" s="7" t="s">
        <v>75</v>
      </c>
      <c r="E35" s="7" t="str">
        <f>VLOOKUP(G35,'Z0000002-508684 BOM triển k hai'!$G$3:$R$42,12,0)</f>
        <v>Chốt cài KES-15</v>
      </c>
      <c r="F35" s="7" t="s">
        <v>7</v>
      </c>
      <c r="G35" s="7" t="s">
        <v>76</v>
      </c>
      <c r="H35" s="7" t="str">
        <f>VLOOKUP(G35,'Z0000002-508684 BOM triển k hai'!$G$3:$H$42,2,0)</f>
        <v>Chốt cài</v>
      </c>
      <c r="I35" s="7">
        <f t="shared" si="0"/>
        <v>12</v>
      </c>
      <c r="J35" s="7">
        <f t="shared" si="1"/>
        <v>72</v>
      </c>
      <c r="K35" s="7" t="s">
        <v>7</v>
      </c>
      <c r="L35" s="7" t="s">
        <v>7</v>
      </c>
      <c r="M35" s="7"/>
      <c r="N35" s="7" t="s">
        <v>7</v>
      </c>
      <c r="O35" s="7" t="s">
        <v>7</v>
      </c>
      <c r="P35" s="7"/>
      <c r="Q35" s="7" t="s">
        <v>7</v>
      </c>
    </row>
    <row r="36" spans="1:17" s="4" customFormat="1" ht="81" hidden="1" customHeight="1" x14ac:dyDescent="0.25">
      <c r="A36" s="3" t="s">
        <v>7</v>
      </c>
      <c r="B36" s="13" t="s">
        <v>308</v>
      </c>
      <c r="C36" s="7" t="s">
        <v>8</v>
      </c>
      <c r="D36" s="7" t="s">
        <v>108</v>
      </c>
      <c r="E36" s="7" t="str">
        <f>E28</f>
        <v>AL6061 anode đen</v>
      </c>
      <c r="F36" s="7" t="s">
        <v>7</v>
      </c>
      <c r="G36" s="7" t="s">
        <v>109</v>
      </c>
      <c r="H36" s="7" t="str">
        <f>H28</f>
        <v>GTAM</v>
      </c>
      <c r="I36" s="7">
        <f t="shared" si="0"/>
        <v>4</v>
      </c>
      <c r="J36" s="7">
        <f t="shared" si="1"/>
        <v>24</v>
      </c>
      <c r="K36" s="7" t="s">
        <v>536</v>
      </c>
      <c r="L36" s="7" t="s">
        <v>7</v>
      </c>
      <c r="M36" s="7"/>
      <c r="N36" s="7" t="s">
        <v>7</v>
      </c>
      <c r="O36" s="7" t="s">
        <v>7</v>
      </c>
      <c r="P36" s="7"/>
      <c r="Q36" s="7" t="s">
        <v>7</v>
      </c>
    </row>
    <row r="37" spans="1:17" s="4" customFormat="1" ht="81" hidden="1" customHeight="1" x14ac:dyDescent="0.25">
      <c r="A37" s="3" t="s">
        <v>7</v>
      </c>
      <c r="B37" s="13" t="s">
        <v>309</v>
      </c>
      <c r="C37" s="7" t="s">
        <v>8</v>
      </c>
      <c r="D37" s="7" t="s">
        <v>110</v>
      </c>
      <c r="E37" s="7" t="str">
        <f>E36</f>
        <v>AL6061 anode đen</v>
      </c>
      <c r="F37" s="7" t="s">
        <v>7</v>
      </c>
      <c r="G37" s="7" t="s">
        <v>111</v>
      </c>
      <c r="H37" s="7" t="str">
        <f>H36</f>
        <v>GTAM</v>
      </c>
      <c r="I37" s="7">
        <f t="shared" si="0"/>
        <v>4</v>
      </c>
      <c r="J37" s="7">
        <f t="shared" si="1"/>
        <v>24</v>
      </c>
      <c r="K37" s="7" t="s">
        <v>532</v>
      </c>
      <c r="L37" s="7" t="s">
        <v>7</v>
      </c>
      <c r="M37" s="7"/>
      <c r="N37" s="7" t="s">
        <v>7</v>
      </c>
      <c r="O37" s="7" t="s">
        <v>7</v>
      </c>
      <c r="P37" s="7"/>
      <c r="Q37" s="7" t="s">
        <v>7</v>
      </c>
    </row>
    <row r="38" spans="1:17" s="4" customFormat="1" ht="81" hidden="1" customHeight="1" x14ac:dyDescent="0.25">
      <c r="A38" s="3" t="s">
        <v>7</v>
      </c>
      <c r="B38" s="13" t="s">
        <v>310</v>
      </c>
      <c r="C38" s="7" t="s">
        <v>8</v>
      </c>
      <c r="D38" s="7" t="s">
        <v>112</v>
      </c>
      <c r="E38" s="7" t="str">
        <f>E37</f>
        <v>AL6061 anode đen</v>
      </c>
      <c r="F38" s="7" t="s">
        <v>7</v>
      </c>
      <c r="G38" s="7" t="s">
        <v>113</v>
      </c>
      <c r="H38" s="7" t="str">
        <f>H37</f>
        <v>GTAM</v>
      </c>
      <c r="I38" s="7">
        <f t="shared" si="0"/>
        <v>4</v>
      </c>
      <c r="J38" s="7">
        <f t="shared" si="1"/>
        <v>24</v>
      </c>
      <c r="K38" s="7" t="s">
        <v>536</v>
      </c>
      <c r="L38" s="7" t="s">
        <v>7</v>
      </c>
      <c r="M38" s="7"/>
      <c r="N38" s="7" t="s">
        <v>7</v>
      </c>
      <c r="O38" s="7" t="s">
        <v>7</v>
      </c>
      <c r="P38" s="7"/>
      <c r="Q38" s="7" t="s">
        <v>7</v>
      </c>
    </row>
    <row r="40" spans="1:17" x14ac:dyDescent="0.25">
      <c r="H40" s="15" t="str">
        <f>'Z0000002-508684 BOM triển k hai'!H45</f>
        <v>Belt</v>
      </c>
      <c r="I40" s="15" t="str">
        <f>'Z0000002-508684 BOM triển k hai'!I45</f>
        <v>đã nhận đủ hàng 9/4</v>
      </c>
      <c r="J40" s="15" t="str">
        <f>'Z0000002-508684 BOM triển k hai'!J45</f>
        <v>đã đặt hàng 10/4, hẹn 25/4 giao 50%, 5/5 giao nốt</v>
      </c>
    </row>
    <row r="41" spans="1:17" x14ac:dyDescent="0.25">
      <c r="H41" s="15" t="str">
        <f>'Z0000002-508684 BOM triển k hai'!H46</f>
        <v>CG</v>
      </c>
      <c r="I41" s="15" t="str">
        <f>'Z0000002-508684 BOM triển k hai'!I46</f>
        <v>đã xong 9/4</v>
      </c>
      <c r="J41" s="15">
        <f>'Z0000002-508684 BOM triển k hai'!J46</f>
        <v>0</v>
      </c>
    </row>
    <row r="42" spans="1:17" x14ac:dyDescent="0.25">
      <c r="H42" s="15" t="str">
        <f>'Z0000002-508684 BOM triển k hai'!H47</f>
        <v>Chốt cài</v>
      </c>
      <c r="I42" s="15" t="str">
        <f>'Z0000002-508684 BOM triển k hai'!I47</f>
        <v>đã tồn kho</v>
      </c>
      <c r="J42" s="15" t="str">
        <f>'Z0000002-508684 BOM triển k hai'!J47</f>
        <v>đã tồn kho</v>
      </c>
    </row>
    <row r="43" spans="1:17" x14ac:dyDescent="0.25">
      <c r="H43" s="15" t="str">
        <f>'Z0000002-508684 BOM triển k hai'!H48</f>
        <v>GTAM</v>
      </c>
      <c r="I43" s="15" t="str">
        <f>'Z0000002-508684 BOM triển k hai'!I48</f>
        <v>9/4 đã xong</v>
      </c>
      <c r="J43" s="15">
        <f>'Z0000002-508684 BOM triển k hai'!J48</f>
        <v>0</v>
      </c>
    </row>
    <row r="44" spans="1:17" x14ac:dyDescent="0.25">
      <c r="H44" s="15" t="str">
        <f>'Z0000002-508684 BOM triển k hai'!H49</f>
        <v>MI</v>
      </c>
      <c r="I44" s="15" t="str">
        <f>'Z0000002-508684 BOM triển k hai'!I49</f>
        <v>đã chốt đặt, dự kiến về trước 10/4</v>
      </c>
      <c r="J44" s="15" t="str">
        <f>'Z0000002-508684 BOM triển k hai'!J49</f>
        <v xml:space="preserve">đã nhận đủ 13/4, </v>
      </c>
    </row>
    <row r="45" spans="1:17" x14ac:dyDescent="0.25">
      <c r="H45" s="15" t="str">
        <f>'Z0000002-508684 BOM triển k hai'!H50</f>
        <v>TT</v>
      </c>
      <c r="I45" s="15" t="str">
        <f>'Z0000002-508684 BOM triển k hai'!I50</f>
        <v>đã giao lô đầu 30 set</v>
      </c>
      <c r="J45" s="15" t="str">
        <f>'Z0000002-508684 BOM triển k hai'!J50</f>
        <v>9/4 nhận 159 bộ, thiếu rulo chủ động giao sau</v>
      </c>
    </row>
    <row r="46" spans="1:17" x14ac:dyDescent="0.25">
      <c r="H46" s="15" t="str">
        <f>'Z0000002-508684 BOM triển k hai'!H51</f>
        <v>Phanh trục</v>
      </c>
      <c r="I46" s="15" t="str">
        <f>'Z0000002-508684 BOM triển k hai'!I51</f>
        <v>đã tồn kho sẵn</v>
      </c>
      <c r="J46" s="15" t="str">
        <f>'Z0000002-508684 BOM triển k hai'!J51</f>
        <v>đã tồn kho sẵn</v>
      </c>
    </row>
    <row r="47" spans="1:17" x14ac:dyDescent="0.25">
      <c r="H47" s="15" t="str">
        <f>'Z0000002-508684 BOM triển k hai'!H52</f>
        <v>SPG</v>
      </c>
      <c r="I47" s="15" t="str">
        <f>'Z0000002-508684 BOM triển k hai'!I52</f>
        <v>NG báo đã nhận 27 set, đủ lô 7CV</v>
      </c>
      <c r="J47" s="15">
        <f>'Z0000002-508684 BOM triển k hai'!J52</f>
        <v>0</v>
      </c>
    </row>
    <row r="48" spans="1:17" x14ac:dyDescent="0.25">
      <c r="H48" s="15" t="str">
        <f>'Z0000002-508684 BOM triển k hai'!H53</f>
        <v>UP</v>
      </c>
      <c r="I48" s="15" t="str">
        <f>'Z0000002-508684 BOM triển k hai'!I53</f>
        <v>đã chốt đặt, dự kiến về trước 10/4</v>
      </c>
      <c r="J48" s="15">
        <f>'Z0000002-508684 BOM triển k hai'!J53</f>
        <v>0</v>
      </c>
    </row>
    <row r="49" spans="8:10" x14ac:dyDescent="0.25">
      <c r="H49" s="15" t="str">
        <f>'Z0000002-508684 BOM triển k hai'!H54</f>
        <v>VB C-SE688ZZ</v>
      </c>
      <c r="I49" s="15" t="str">
        <f>'Z0000002-508684 BOM triển k hai'!I54</f>
        <v>đặt tổng 432, đã về hàng 9/4</v>
      </c>
      <c r="J49" s="15" t="str">
        <f>'Z0000002-508684 BOM triển k hai'!J54</f>
        <v>Tổng lô đặt HC 2280, 14/4 về trc 630</v>
      </c>
    </row>
    <row r="50" spans="8:10" x14ac:dyDescent="0.25">
      <c r="H50" s="15" t="str">
        <f>'Z0000002-508684 BOM triển k hai'!H55</f>
        <v>VB C-SE6000ZZ</v>
      </c>
      <c r="I50" s="15" t="str">
        <f>'Z0000002-508684 BOM triển k hai'!I55</f>
        <v>đã nhận hàng 27/3</v>
      </c>
      <c r="J50" s="15" t="str">
        <f>'Z0000002-508684 BOM triển k hai'!J55</f>
        <v>tổng lô 324, đã về đủ 13/4</v>
      </c>
    </row>
    <row r="51" spans="8:10" x14ac:dyDescent="0.25">
      <c r="H51" s="15">
        <f>'Z0000002-508684 BOM triển k hai'!H56</f>
        <v>0</v>
      </c>
      <c r="I51" s="15">
        <f>'Z0000002-508684 BOM triển k hai'!I56</f>
        <v>0</v>
      </c>
      <c r="J51" s="15">
        <f>'Z0000002-508684 BOM triển k hai'!J56</f>
        <v>0</v>
      </c>
    </row>
  </sheetData>
  <autoFilter ref="A2:I38" xr:uid="{757D208C-C49A-4460-BD90-AA3EB1A2AB84}">
    <filterColumn colId="7">
      <filters>
        <filter val="SPG"/>
      </filters>
    </filterColumn>
  </autoFilter>
  <phoneticPr fontId="9" type="noConversion"/>
  <conditionalFormatting sqref="G1:G1048576">
    <cfRule type="duplicateValues" dxfId="4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A55B-6EB1-40B3-BEB9-9FAE7CD2A47B}">
  <sheetPr filterMode="1"/>
  <dimension ref="A1:R51"/>
  <sheetViews>
    <sheetView workbookViewId="0">
      <selection activeCell="E57" sqref="E57"/>
    </sheetView>
  </sheetViews>
  <sheetFormatPr defaultRowHeight="15" x14ac:dyDescent="0.25"/>
  <cols>
    <col min="1" max="1" width="16.42578125" customWidth="1"/>
    <col min="2" max="2" width="12" customWidth="1"/>
    <col min="3" max="3" width="9.7109375" customWidth="1"/>
    <col min="4" max="4" width="40.85546875" customWidth="1"/>
    <col min="5" max="5" width="83.28515625" customWidth="1"/>
    <col min="6" max="6" width="15.85546875" customWidth="1"/>
    <col min="7" max="7" width="19.7109375" customWidth="1"/>
    <col min="8" max="18" width="19.42578125" customWidth="1"/>
  </cols>
  <sheetData>
    <row r="1" spans="1:18" ht="27" thickBot="1" x14ac:dyDescent="0.45">
      <c r="A1" s="1" t="s">
        <v>124</v>
      </c>
      <c r="B1" s="2"/>
      <c r="C1" s="2"/>
      <c r="D1" s="2"/>
      <c r="H1" s="8" t="s">
        <v>234</v>
      </c>
      <c r="I1" s="8">
        <v>2</v>
      </c>
      <c r="J1" s="8">
        <f>'[1]ducpt trien khai'!$I$29</f>
        <v>12</v>
      </c>
    </row>
    <row r="2" spans="1:18" s="6" customFormat="1" ht="16.5" thickTop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tr">
        <f>'Z0000002-508700 BOM triển k hai'!H2</f>
        <v>NCC/vật tư</v>
      </c>
      <c r="I2" s="9" t="s">
        <v>234</v>
      </c>
      <c r="J2" s="9"/>
      <c r="K2" s="5"/>
      <c r="L2" s="5"/>
      <c r="M2" s="5"/>
      <c r="N2" s="5"/>
      <c r="O2" s="5"/>
      <c r="P2" s="5"/>
      <c r="Q2" s="5"/>
      <c r="R2" s="5"/>
    </row>
    <row r="3" spans="1:18" s="4" customFormat="1" ht="63.6" hidden="1" customHeight="1" x14ac:dyDescent="0.25">
      <c r="A3" s="3" t="s">
        <v>7</v>
      </c>
      <c r="B3" s="13" t="s">
        <v>311</v>
      </c>
      <c r="C3" s="7" t="s">
        <v>8</v>
      </c>
      <c r="D3" s="7" t="s">
        <v>115</v>
      </c>
      <c r="E3" s="7" t="s">
        <v>489</v>
      </c>
      <c r="F3" s="7" t="s">
        <v>7</v>
      </c>
      <c r="G3" s="7" t="s">
        <v>107</v>
      </c>
      <c r="H3" s="7" t="s">
        <v>494</v>
      </c>
      <c r="I3" s="7">
        <f>C3*$I$1</f>
        <v>2</v>
      </c>
      <c r="J3" s="7">
        <f>$J$1*C3</f>
        <v>12</v>
      </c>
      <c r="K3" s="7" t="s">
        <v>536</v>
      </c>
      <c r="L3" s="7" t="s">
        <v>7</v>
      </c>
      <c r="M3" s="7" t="s">
        <v>7</v>
      </c>
      <c r="N3" s="7"/>
      <c r="O3" s="7" t="s">
        <v>7</v>
      </c>
      <c r="P3" s="7" t="s">
        <v>7</v>
      </c>
      <c r="Q3" s="7"/>
      <c r="R3" s="7" t="s">
        <v>7</v>
      </c>
    </row>
    <row r="4" spans="1:18" s="4" customFormat="1" ht="63.6" hidden="1" customHeight="1" x14ac:dyDescent="0.25">
      <c r="A4" s="3" t="s">
        <v>7</v>
      </c>
      <c r="B4" s="13" t="s">
        <v>312</v>
      </c>
      <c r="C4" s="7" t="s">
        <v>8</v>
      </c>
      <c r="D4" s="7" t="s">
        <v>116</v>
      </c>
      <c r="E4" s="7" t="str">
        <f>VLOOKUP(G4,'Z0000002-508684 BOM triển k hai'!$G$3:$R$42,12,0)</f>
        <v>PB108</v>
      </c>
      <c r="F4" s="7" t="s">
        <v>7</v>
      </c>
      <c r="G4" s="7" t="s">
        <v>23</v>
      </c>
      <c r="H4" s="7" t="str">
        <f>VLOOKUP(G4,'Z0000002-508684 BOM triển k hai'!$G$3:$H$42,2,0)</f>
        <v>GTAM</v>
      </c>
      <c r="I4" s="7">
        <f t="shared" ref="I4:I38" si="0">C4*$I$1</f>
        <v>2</v>
      </c>
      <c r="J4" s="7">
        <f t="shared" ref="J4:J38" si="1">$J$1*C4</f>
        <v>12</v>
      </c>
      <c r="K4" s="7" t="s">
        <v>531</v>
      </c>
      <c r="L4" s="7" t="s">
        <v>7</v>
      </c>
      <c r="M4" s="7" t="s">
        <v>7</v>
      </c>
      <c r="N4" s="7"/>
      <c r="O4" s="7" t="s">
        <v>7</v>
      </c>
      <c r="P4" s="7" t="s">
        <v>7</v>
      </c>
      <c r="Q4" s="7"/>
      <c r="R4" s="7" t="s">
        <v>7</v>
      </c>
    </row>
    <row r="5" spans="1:18" s="4" customFormat="1" ht="63.6" hidden="1" customHeight="1" x14ac:dyDescent="0.25">
      <c r="A5" s="3" t="s">
        <v>7</v>
      </c>
      <c r="B5" s="13" t="s">
        <v>313</v>
      </c>
      <c r="C5" s="7" t="s">
        <v>8</v>
      </c>
      <c r="D5" s="7" t="s">
        <v>117</v>
      </c>
      <c r="E5" s="7" t="str">
        <f>VLOOKUP(G5,'Z0000002-508684 BOM triển k hai'!$G$3:$R$42,12,0)</f>
        <v>PB108</v>
      </c>
      <c r="F5" s="7" t="s">
        <v>7</v>
      </c>
      <c r="G5" s="7" t="s">
        <v>23</v>
      </c>
      <c r="H5" s="7" t="str">
        <f>VLOOKUP(G5,'Z0000002-508684 BOM triển k hai'!$G$3:$H$42,2,0)</f>
        <v>GTAM</v>
      </c>
      <c r="I5" s="7">
        <f t="shared" si="0"/>
        <v>2</v>
      </c>
      <c r="J5" s="7">
        <f t="shared" si="1"/>
        <v>12</v>
      </c>
      <c r="K5" s="7" t="s">
        <v>531</v>
      </c>
      <c r="L5" s="7" t="s">
        <v>7</v>
      </c>
      <c r="M5" s="7" t="s">
        <v>7</v>
      </c>
      <c r="N5" s="7"/>
      <c r="O5" s="7" t="s">
        <v>7</v>
      </c>
      <c r="P5" s="7" t="s">
        <v>7</v>
      </c>
      <c r="Q5" s="7"/>
      <c r="R5" s="7" t="s">
        <v>7</v>
      </c>
    </row>
    <row r="6" spans="1:18" s="4" customFormat="1" ht="63.6" hidden="1" customHeight="1" x14ac:dyDescent="0.25">
      <c r="A6" s="3" t="s">
        <v>7</v>
      </c>
      <c r="B6" s="13" t="s">
        <v>314</v>
      </c>
      <c r="C6" s="7" t="s">
        <v>8</v>
      </c>
      <c r="D6" s="7" t="s">
        <v>118</v>
      </c>
      <c r="E6" s="7" t="s">
        <v>488</v>
      </c>
      <c r="F6" s="7" t="s">
        <v>7</v>
      </c>
      <c r="G6" s="7" t="s">
        <v>119</v>
      </c>
      <c r="H6" s="7" t="s">
        <v>487</v>
      </c>
      <c r="I6" s="7">
        <f t="shared" si="0"/>
        <v>2</v>
      </c>
      <c r="J6" s="7">
        <f t="shared" si="1"/>
        <v>12</v>
      </c>
      <c r="K6" s="7"/>
      <c r="L6" s="7" t="s">
        <v>7</v>
      </c>
      <c r="M6" s="7" t="s">
        <v>7</v>
      </c>
      <c r="N6" s="7"/>
      <c r="O6" s="7" t="s">
        <v>7</v>
      </c>
      <c r="P6" s="7" t="s">
        <v>7</v>
      </c>
      <c r="Q6" s="7"/>
      <c r="R6" s="7" t="s">
        <v>7</v>
      </c>
    </row>
    <row r="7" spans="1:18" s="4" customFormat="1" ht="63.6" hidden="1" customHeight="1" x14ac:dyDescent="0.25">
      <c r="A7" s="3" t="s">
        <v>7</v>
      </c>
      <c r="B7" s="13" t="s">
        <v>315</v>
      </c>
      <c r="C7" s="7" t="s">
        <v>8</v>
      </c>
      <c r="D7" s="7" t="s">
        <v>11</v>
      </c>
      <c r="E7" s="7" t="str">
        <f>VLOOKUP(G7,'Z0000002-508684 BOM triển k hai'!$G$3:$R$42,12,0)</f>
        <v>SUS304, điện hóa</v>
      </c>
      <c r="F7" s="7" t="s">
        <v>7</v>
      </c>
      <c r="G7" s="7" t="s">
        <v>12</v>
      </c>
      <c r="H7" s="7" t="str">
        <f>VLOOKUP(G7,'Z0000002-508684 BOM triển k hai'!$G$3:$H$42,2,0)</f>
        <v>CG</v>
      </c>
      <c r="I7" s="7">
        <f t="shared" si="0"/>
        <v>2</v>
      </c>
      <c r="J7" s="7">
        <f t="shared" si="1"/>
        <v>12</v>
      </c>
      <c r="K7" s="7"/>
      <c r="L7" s="7" t="s">
        <v>7</v>
      </c>
      <c r="M7" s="7" t="s">
        <v>7</v>
      </c>
      <c r="N7" s="7"/>
      <c r="O7" s="7" t="s">
        <v>7</v>
      </c>
      <c r="P7" s="7" t="s">
        <v>7</v>
      </c>
      <c r="Q7" s="7"/>
      <c r="R7" s="7" t="s">
        <v>7</v>
      </c>
    </row>
    <row r="8" spans="1:18" s="4" customFormat="1" ht="63.6" hidden="1" customHeight="1" x14ac:dyDescent="0.25">
      <c r="A8" s="3" t="s">
        <v>7</v>
      </c>
      <c r="B8" s="13" t="s">
        <v>316</v>
      </c>
      <c r="C8" s="7" t="s">
        <v>8</v>
      </c>
      <c r="D8" s="7" t="s">
        <v>120</v>
      </c>
      <c r="E8" s="7" t="str">
        <f>E7</f>
        <v>SUS304, điện hóa</v>
      </c>
      <c r="F8" s="7" t="s">
        <v>7</v>
      </c>
      <c r="G8" s="7" t="s">
        <v>119</v>
      </c>
      <c r="H8" s="7" t="str">
        <f>H7</f>
        <v>CG</v>
      </c>
      <c r="I8" s="7">
        <f t="shared" si="0"/>
        <v>2</v>
      </c>
      <c r="J8" s="7">
        <f t="shared" si="1"/>
        <v>12</v>
      </c>
      <c r="K8" s="7"/>
      <c r="L8" s="7" t="s">
        <v>7</v>
      </c>
      <c r="M8" s="7" t="s">
        <v>7</v>
      </c>
      <c r="N8" s="7"/>
      <c r="O8" s="7" t="s">
        <v>7</v>
      </c>
      <c r="P8" s="7" t="s">
        <v>7</v>
      </c>
      <c r="Q8" s="7"/>
      <c r="R8" s="7" t="s">
        <v>7</v>
      </c>
    </row>
    <row r="9" spans="1:18" s="4" customFormat="1" ht="63.6" hidden="1" customHeight="1" x14ac:dyDescent="0.25">
      <c r="A9" s="3" t="s">
        <v>7</v>
      </c>
      <c r="B9" s="13" t="s">
        <v>317</v>
      </c>
      <c r="C9" s="7" t="s">
        <v>8</v>
      </c>
      <c r="D9" s="7" t="s">
        <v>121</v>
      </c>
      <c r="E9" s="7" t="str">
        <f>VLOOKUP(G9,'Z0000002-508684 BOM triển k hai'!$G$3:$R$42,12,0)</f>
        <v>SUS304, điện hóa</v>
      </c>
      <c r="F9" s="7" t="s">
        <v>7</v>
      </c>
      <c r="G9" s="7" t="s">
        <v>17</v>
      </c>
      <c r="H9" s="7" t="str">
        <f>VLOOKUP(G9,'Z0000002-508684 BOM triển k hai'!$G$3:$H$42,2,0)</f>
        <v>CG</v>
      </c>
      <c r="I9" s="7">
        <f t="shared" si="0"/>
        <v>2</v>
      </c>
      <c r="J9" s="7">
        <f t="shared" si="1"/>
        <v>12</v>
      </c>
      <c r="K9" s="7"/>
      <c r="L9" s="7" t="s">
        <v>7</v>
      </c>
      <c r="M9" s="7" t="s">
        <v>7</v>
      </c>
      <c r="N9" s="7"/>
      <c r="O9" s="7" t="s">
        <v>7</v>
      </c>
      <c r="P9" s="7" t="s">
        <v>7</v>
      </c>
      <c r="Q9" s="7"/>
      <c r="R9" s="7" t="s">
        <v>7</v>
      </c>
    </row>
    <row r="10" spans="1:18" s="4" customFormat="1" ht="63.6" hidden="1" customHeight="1" x14ac:dyDescent="0.25">
      <c r="A10" s="3" t="s">
        <v>7</v>
      </c>
      <c r="B10" s="13" t="s">
        <v>318</v>
      </c>
      <c r="C10" s="7" t="s">
        <v>8</v>
      </c>
      <c r="D10" s="7" t="s">
        <v>122</v>
      </c>
      <c r="E10" s="7" t="str">
        <f>VLOOKUP(G10,'Z0000002-508684 BOM triển k hai'!$G$3:$R$42,12,0)</f>
        <v>AL6061 anode đen</v>
      </c>
      <c r="F10" s="7" t="s">
        <v>7</v>
      </c>
      <c r="G10" s="7" t="s">
        <v>30</v>
      </c>
      <c r="H10" s="7" t="str">
        <f>VLOOKUP(G10,'Z0000002-508684 BOM triển k hai'!$G$3:$H$42,2,0)</f>
        <v>GTAM</v>
      </c>
      <c r="I10" s="7">
        <f t="shared" si="0"/>
        <v>2</v>
      </c>
      <c r="J10" s="7">
        <f t="shared" si="1"/>
        <v>12</v>
      </c>
      <c r="K10" s="7" t="s">
        <v>536</v>
      </c>
      <c r="L10" s="7" t="s">
        <v>7</v>
      </c>
      <c r="M10" s="7" t="s">
        <v>7</v>
      </c>
      <c r="N10" s="7"/>
      <c r="O10" s="7" t="s">
        <v>7</v>
      </c>
      <c r="P10" s="7" t="s">
        <v>7</v>
      </c>
      <c r="Q10" s="7"/>
      <c r="R10" s="7" t="s">
        <v>7</v>
      </c>
    </row>
    <row r="11" spans="1:18" s="4" customFormat="1" ht="63.6" hidden="1" customHeight="1" x14ac:dyDescent="0.25">
      <c r="A11" s="3" t="s">
        <v>7</v>
      </c>
      <c r="B11" s="13" t="s">
        <v>319</v>
      </c>
      <c r="C11" s="7" t="s">
        <v>8</v>
      </c>
      <c r="D11" s="7" t="s">
        <v>99</v>
      </c>
      <c r="E11" s="7" t="str">
        <f>VLOOKUP(G11,'Z0000002-508684 BOM triển k hai'!$G$3:$R$42,12,0)</f>
        <v>AL6061 anode đen</v>
      </c>
      <c r="F11" s="7" t="s">
        <v>7</v>
      </c>
      <c r="G11" s="7" t="s">
        <v>33</v>
      </c>
      <c r="H11" s="7" t="str">
        <f>VLOOKUP(G11,'Z0000002-508684 BOM triển k hai'!$G$3:$H$42,2,0)</f>
        <v>GTAM</v>
      </c>
      <c r="I11" s="7">
        <f t="shared" si="0"/>
        <v>2</v>
      </c>
      <c r="J11" s="7">
        <f t="shared" si="1"/>
        <v>12</v>
      </c>
      <c r="K11" s="7" t="s">
        <v>536</v>
      </c>
      <c r="L11" s="7" t="s">
        <v>7</v>
      </c>
      <c r="M11" s="7" t="s">
        <v>7</v>
      </c>
      <c r="N11" s="7"/>
      <c r="O11" s="7" t="s">
        <v>7</v>
      </c>
      <c r="P11" s="7" t="s">
        <v>7</v>
      </c>
      <c r="Q11" s="7"/>
      <c r="R11" s="7" t="s">
        <v>7</v>
      </c>
    </row>
    <row r="12" spans="1:18" s="4" customFormat="1" ht="63.6" hidden="1" customHeight="1" x14ac:dyDescent="0.25">
      <c r="A12" s="3" t="s">
        <v>7</v>
      </c>
      <c r="B12" s="13" t="s">
        <v>320</v>
      </c>
      <c r="C12" s="7" t="s">
        <v>8</v>
      </c>
      <c r="D12" s="7" t="s">
        <v>20</v>
      </c>
      <c r="E12" s="7" t="str">
        <f>VLOOKUP(G12,'Z0000002-508684 BOM triển k hai'!$G$3:$R$42,12,0)</f>
        <v>HTPA18S5M100-A-N8-FC30.0 đổi sang HTPA18S5M150-A-N8-FC30.0</v>
      </c>
      <c r="F12" s="7" t="s">
        <v>7</v>
      </c>
      <c r="G12" s="7" t="s">
        <v>21</v>
      </c>
      <c r="H12" s="7" t="str">
        <f>VLOOKUP(G12,'Z0000002-508684 BOM triển k hai'!$G$3:$H$42,2,0)</f>
        <v>UP</v>
      </c>
      <c r="I12" s="7">
        <f t="shared" si="0"/>
        <v>2</v>
      </c>
      <c r="J12" s="7">
        <f t="shared" si="1"/>
        <v>12</v>
      </c>
      <c r="K12" s="7"/>
      <c r="L12" s="7" t="s">
        <v>7</v>
      </c>
      <c r="M12" s="7" t="s">
        <v>7</v>
      </c>
      <c r="N12" s="7"/>
      <c r="O12" s="7" t="s">
        <v>7</v>
      </c>
      <c r="P12" s="7" t="s">
        <v>7</v>
      </c>
      <c r="Q12" s="7"/>
      <c r="R12" s="7" t="s">
        <v>7</v>
      </c>
    </row>
    <row r="13" spans="1:18" s="4" customFormat="1" ht="63.6" hidden="1" customHeight="1" x14ac:dyDescent="0.25">
      <c r="A13" s="3" t="s">
        <v>7</v>
      </c>
      <c r="B13" s="13" t="s">
        <v>321</v>
      </c>
      <c r="C13" s="7" t="s">
        <v>8</v>
      </c>
      <c r="D13" s="7" t="s">
        <v>36</v>
      </c>
      <c r="E13" s="7" t="str">
        <f>VLOOKUP(G13,'Z0000002-508684 BOM triển k hai'!$G$3:$R$42,12,0)</f>
        <v>AL6061 anode đen</v>
      </c>
      <c r="F13" s="7" t="s">
        <v>7</v>
      </c>
      <c r="G13" s="7" t="s">
        <v>37</v>
      </c>
      <c r="H13" s="7" t="str">
        <f>VLOOKUP(G13,'Z0000002-508684 BOM triển k hai'!$G$3:$H$42,2,0)</f>
        <v>GTAM</v>
      </c>
      <c r="I13" s="7">
        <f t="shared" si="0"/>
        <v>2</v>
      </c>
      <c r="J13" s="7">
        <f t="shared" si="1"/>
        <v>12</v>
      </c>
      <c r="K13" s="7" t="s">
        <v>536</v>
      </c>
      <c r="L13" s="7" t="s">
        <v>7</v>
      </c>
      <c r="M13" s="7" t="s">
        <v>7</v>
      </c>
      <c r="N13" s="7"/>
      <c r="O13" s="7" t="s">
        <v>7</v>
      </c>
      <c r="P13" s="7" t="s">
        <v>7</v>
      </c>
      <c r="Q13" s="7"/>
      <c r="R13" s="7" t="s">
        <v>7</v>
      </c>
    </row>
    <row r="14" spans="1:18" s="4" customFormat="1" ht="63.6" hidden="1" customHeight="1" x14ac:dyDescent="0.25">
      <c r="A14" s="3" t="s">
        <v>7</v>
      </c>
      <c r="B14" s="13" t="s">
        <v>322</v>
      </c>
      <c r="C14" s="7" t="s">
        <v>8</v>
      </c>
      <c r="D14" s="7" t="s">
        <v>9</v>
      </c>
      <c r="E14" s="7" t="str">
        <f>VLOOKUP(G14,'Z0000002-508684 BOM triển k hai'!$G$3:$R$42,12,0)</f>
        <v>TTBU250T5-100 --&gt; đổi sang C-TTBN250T5-150</v>
      </c>
      <c r="F14" s="7" t="s">
        <v>7</v>
      </c>
      <c r="G14" s="7" t="s">
        <v>10</v>
      </c>
      <c r="H14" s="7" t="str">
        <f>VLOOKUP(G14,'Z0000002-508684 BOM triển k hai'!$G$3:$H$42,2,0)</f>
        <v>MI</v>
      </c>
      <c r="I14" s="7">
        <f t="shared" si="0"/>
        <v>2</v>
      </c>
      <c r="J14" s="7">
        <f t="shared" si="1"/>
        <v>12</v>
      </c>
      <c r="K14" s="7"/>
      <c r="L14" s="7" t="s">
        <v>7</v>
      </c>
      <c r="M14" s="7" t="s">
        <v>7</v>
      </c>
      <c r="N14" s="7"/>
      <c r="O14" s="7" t="s">
        <v>7</v>
      </c>
      <c r="P14" s="7" t="s">
        <v>7</v>
      </c>
      <c r="Q14" s="7"/>
      <c r="R14" s="7" t="s">
        <v>7</v>
      </c>
    </row>
    <row r="15" spans="1:18" s="4" customFormat="1" ht="63.6" hidden="1" customHeight="1" x14ac:dyDescent="0.25">
      <c r="A15" s="3" t="s">
        <v>7</v>
      </c>
      <c r="B15" s="13" t="s">
        <v>323</v>
      </c>
      <c r="C15" s="7" t="s">
        <v>13</v>
      </c>
      <c r="D15" s="7" t="s">
        <v>100</v>
      </c>
      <c r="E15" s="7" t="str">
        <f>VLOOKUP(G15,'Z0000002-508684 BOM triển k hai'!$G$3:$R$42,12,0)</f>
        <v>belt PU đen, chống tĩnh điện, ép viền chống xước, dày 1.5mm, bản rộng 20mm, chu vi 890mm( đo mép trong 895mm, chốt cân chỉnh đang ở giữa )</v>
      </c>
      <c r="F15" s="7" t="s">
        <v>7</v>
      </c>
      <c r="G15" s="7" t="s">
        <v>28</v>
      </c>
      <c r="H15" s="7" t="str">
        <f>VLOOKUP(G15,'Z0000002-508684 BOM triển k hai'!$G$3:$H$42,2,0)</f>
        <v>Belt</v>
      </c>
      <c r="I15" s="7">
        <f t="shared" si="0"/>
        <v>4</v>
      </c>
      <c r="J15" s="7">
        <f t="shared" si="1"/>
        <v>24</v>
      </c>
      <c r="K15" s="7"/>
      <c r="L15" s="7" t="s">
        <v>7</v>
      </c>
      <c r="M15" s="7" t="s">
        <v>7</v>
      </c>
      <c r="N15" s="7"/>
      <c r="O15" s="7" t="s">
        <v>7</v>
      </c>
      <c r="P15" s="7" t="s">
        <v>7</v>
      </c>
      <c r="Q15" s="7"/>
      <c r="R15" s="7" t="s">
        <v>7</v>
      </c>
    </row>
    <row r="16" spans="1:18" s="4" customFormat="1" ht="63.6" hidden="1" customHeight="1" x14ac:dyDescent="0.25">
      <c r="A16" s="3" t="s">
        <v>7</v>
      </c>
      <c r="B16" s="13" t="s">
        <v>324</v>
      </c>
      <c r="C16" s="7" t="s">
        <v>13</v>
      </c>
      <c r="D16" s="7" t="s">
        <v>25</v>
      </c>
      <c r="E16" s="7" t="str">
        <f>VLOOKUP(G16,'Z0000002-508684 BOM triển k hai'!$G$3:$R$42,12,0)</f>
        <v>PB108</v>
      </c>
      <c r="F16" s="7" t="s">
        <v>7</v>
      </c>
      <c r="G16" s="7" t="s">
        <v>26</v>
      </c>
      <c r="H16" s="7" t="str">
        <f>VLOOKUP(G16,'Z0000002-508684 BOM triển k hai'!$G$3:$H$42,2,0)</f>
        <v>GTAM</v>
      </c>
      <c r="I16" s="7">
        <f t="shared" si="0"/>
        <v>4</v>
      </c>
      <c r="J16" s="7">
        <f t="shared" si="1"/>
        <v>24</v>
      </c>
      <c r="K16" s="7" t="s">
        <v>532</v>
      </c>
      <c r="L16" s="7" t="s">
        <v>7</v>
      </c>
      <c r="M16" s="7" t="s">
        <v>7</v>
      </c>
      <c r="N16" s="7"/>
      <c r="O16" s="7" t="s">
        <v>7</v>
      </c>
      <c r="P16" s="7" t="s">
        <v>7</v>
      </c>
      <c r="Q16" s="7"/>
      <c r="R16" s="7" t="s">
        <v>7</v>
      </c>
    </row>
    <row r="17" spans="1:18" s="4" customFormat="1" ht="63.6" hidden="1" customHeight="1" x14ac:dyDescent="0.25">
      <c r="A17" s="3" t="s">
        <v>7</v>
      </c>
      <c r="B17" s="13" t="s">
        <v>325</v>
      </c>
      <c r="C17" s="7" t="s">
        <v>8</v>
      </c>
      <c r="D17" s="7" t="s">
        <v>123</v>
      </c>
      <c r="E17" s="7" t="str">
        <f>VLOOKUP(G17,'Z0000002-508684 BOM triển k hai'!$G$3:$R$42,12,0)</f>
        <v>AL6061 anode đen</v>
      </c>
      <c r="F17" s="7" t="s">
        <v>7</v>
      </c>
      <c r="G17" s="7" t="s">
        <v>30</v>
      </c>
      <c r="H17" s="7" t="str">
        <f>VLOOKUP(G17,'Z0000002-508684 BOM triển k hai'!$G$3:$H$42,2,0)</f>
        <v>GTAM</v>
      </c>
      <c r="I17" s="7">
        <f t="shared" si="0"/>
        <v>2</v>
      </c>
      <c r="J17" s="7">
        <f t="shared" si="1"/>
        <v>12</v>
      </c>
      <c r="K17" s="7" t="s">
        <v>536</v>
      </c>
      <c r="L17" s="7" t="s">
        <v>7</v>
      </c>
      <c r="M17" s="7" t="s">
        <v>7</v>
      </c>
      <c r="N17" s="7"/>
      <c r="O17" s="7" t="s">
        <v>7</v>
      </c>
      <c r="P17" s="7" t="s">
        <v>7</v>
      </c>
      <c r="Q17" s="7"/>
      <c r="R17" s="7" t="s">
        <v>7</v>
      </c>
    </row>
    <row r="18" spans="1:18" s="4" customFormat="1" ht="63.6" hidden="1" customHeight="1" x14ac:dyDescent="0.25">
      <c r="A18" s="3" t="s">
        <v>7</v>
      </c>
      <c r="B18" s="13" t="s">
        <v>326</v>
      </c>
      <c r="C18" s="7" t="s">
        <v>8</v>
      </c>
      <c r="D18" s="7" t="s">
        <v>44</v>
      </c>
      <c r="E18" s="7" t="str">
        <f>VLOOKUP(G18,'Z0000002-508684 BOM triển k hai'!$G$3:$R$42,12,0)</f>
        <v>AL6061 anode đen</v>
      </c>
      <c r="F18" s="7" t="s">
        <v>7</v>
      </c>
      <c r="G18" s="7" t="s">
        <v>45</v>
      </c>
      <c r="H18" s="7" t="str">
        <f>VLOOKUP(G18,'Z0000002-508684 BOM triển k hai'!$G$3:$H$42,2,0)</f>
        <v>GTAM</v>
      </c>
      <c r="I18" s="7">
        <f t="shared" si="0"/>
        <v>2</v>
      </c>
      <c r="J18" s="7">
        <f t="shared" si="1"/>
        <v>12</v>
      </c>
      <c r="K18" s="7" t="s">
        <v>536</v>
      </c>
      <c r="L18" s="7" t="s">
        <v>7</v>
      </c>
      <c r="M18" s="7" t="s">
        <v>7</v>
      </c>
      <c r="N18" s="7"/>
      <c r="O18" s="7" t="s">
        <v>7</v>
      </c>
      <c r="P18" s="7" t="s">
        <v>7</v>
      </c>
      <c r="Q18" s="7"/>
      <c r="R18" s="7" t="s">
        <v>7</v>
      </c>
    </row>
    <row r="19" spans="1:18" s="4" customFormat="1" ht="63.6" hidden="1" customHeight="1" x14ac:dyDescent="0.25">
      <c r="A19" s="3" t="s">
        <v>7</v>
      </c>
      <c r="B19" s="13" t="s">
        <v>327</v>
      </c>
      <c r="C19" s="7" t="s">
        <v>8</v>
      </c>
      <c r="D19" s="7" t="s">
        <v>46</v>
      </c>
      <c r="E19" s="7" t="str">
        <f>VLOOKUP(G19,'Z0000002-508684 BOM triển k hai'!$G$3:$R$42,12,0)</f>
        <v>AL6061 anode đen</v>
      </c>
      <c r="F19" s="7" t="s">
        <v>7</v>
      </c>
      <c r="G19" s="7" t="s">
        <v>47</v>
      </c>
      <c r="H19" s="7" t="str">
        <f>VLOOKUP(G19,'Z0000002-508684 BOM triển k hai'!$G$3:$H$42,2,0)</f>
        <v>GTAM</v>
      </c>
      <c r="I19" s="7">
        <f t="shared" si="0"/>
        <v>2</v>
      </c>
      <c r="J19" s="7">
        <f t="shared" si="1"/>
        <v>12</v>
      </c>
      <c r="K19" s="7" t="s">
        <v>532</v>
      </c>
      <c r="L19" s="7" t="s">
        <v>7</v>
      </c>
      <c r="M19" s="7" t="s">
        <v>7</v>
      </c>
      <c r="N19" s="7"/>
      <c r="O19" s="7" t="s">
        <v>7</v>
      </c>
      <c r="P19" s="7" t="s">
        <v>7</v>
      </c>
      <c r="Q19" s="7"/>
      <c r="R19" s="7" t="s">
        <v>7</v>
      </c>
    </row>
    <row r="20" spans="1:18" s="4" customFormat="1" ht="63.6" hidden="1" customHeight="1" x14ac:dyDescent="0.25">
      <c r="A20" s="3" t="s">
        <v>7</v>
      </c>
      <c r="B20" s="13" t="s">
        <v>328</v>
      </c>
      <c r="C20" s="7" t="s">
        <v>8</v>
      </c>
      <c r="D20" s="7" t="s">
        <v>48</v>
      </c>
      <c r="E20" s="7" t="str">
        <f>VLOOKUP(G20,'Z0000002-508684 BOM triển k hai'!$G$3:$R$42,12,0)</f>
        <v>AL6061 anode đen</v>
      </c>
      <c r="F20" s="7" t="s">
        <v>7</v>
      </c>
      <c r="G20" s="7" t="s">
        <v>37</v>
      </c>
      <c r="H20" s="7" t="str">
        <f>VLOOKUP(G20,'Z0000002-508684 BOM triển k hai'!$G$3:$H$42,2,0)</f>
        <v>GTAM</v>
      </c>
      <c r="I20" s="7">
        <f t="shared" si="0"/>
        <v>2</v>
      </c>
      <c r="J20" s="7">
        <f t="shared" si="1"/>
        <v>12</v>
      </c>
      <c r="K20" s="7" t="s">
        <v>532</v>
      </c>
      <c r="L20" s="7" t="s">
        <v>7</v>
      </c>
      <c r="M20" s="7" t="s">
        <v>7</v>
      </c>
      <c r="N20" s="7"/>
      <c r="O20" s="7" t="s">
        <v>7</v>
      </c>
      <c r="P20" s="7" t="s">
        <v>7</v>
      </c>
      <c r="Q20" s="7"/>
      <c r="R20" s="7" t="s">
        <v>7</v>
      </c>
    </row>
    <row r="21" spans="1:18" s="4" customFormat="1" ht="63.6" customHeight="1" x14ac:dyDescent="0.25">
      <c r="A21" s="3" t="s">
        <v>7</v>
      </c>
      <c r="B21" s="13" t="s">
        <v>329</v>
      </c>
      <c r="C21" s="7" t="s">
        <v>8</v>
      </c>
      <c r="D21" s="7" t="s">
        <v>38</v>
      </c>
      <c r="E21" s="7" t="str">
        <f>VLOOKUP(G21,'Z0000002-508684 BOM triển k hai'!$G$3:$R$42,12,0)</f>
        <v>S6I06GX-12CE và bộ đk tốc độ SUA06IX-V12</v>
      </c>
      <c r="F21" s="7" t="s">
        <v>7</v>
      </c>
      <c r="G21" s="7" t="s">
        <v>39</v>
      </c>
      <c r="H21" s="7" t="str">
        <f>VLOOKUP(G21,'Z0000002-508684 BOM triển k hai'!$G$3:$H$42,2,0)</f>
        <v>SPG</v>
      </c>
      <c r="I21" s="7">
        <f t="shared" si="0"/>
        <v>2</v>
      </c>
      <c r="J21" s="7">
        <f t="shared" si="1"/>
        <v>12</v>
      </c>
      <c r="K21" s="7" t="str">
        <f>'Z0000002-508684 BOM triển k hai'!K18</f>
        <v>NG báo đã nhận 27 set, đủ lô 7CV</v>
      </c>
      <c r="L21" s="7" t="s">
        <v>7</v>
      </c>
      <c r="M21" s="7" t="s">
        <v>7</v>
      </c>
      <c r="N21" s="7"/>
      <c r="O21" s="7" t="s">
        <v>7</v>
      </c>
      <c r="P21" s="7" t="s">
        <v>7</v>
      </c>
      <c r="Q21" s="7"/>
      <c r="R21" s="7" t="s">
        <v>7</v>
      </c>
    </row>
    <row r="22" spans="1:18" s="4" customFormat="1" ht="63.6" customHeight="1" x14ac:dyDescent="0.25">
      <c r="A22" s="3" t="s">
        <v>7</v>
      </c>
      <c r="B22" s="13" t="s">
        <v>330</v>
      </c>
      <c r="C22" s="7" t="s">
        <v>8</v>
      </c>
      <c r="D22" s="7" t="s">
        <v>40</v>
      </c>
      <c r="E22" s="7" t="str">
        <f>VLOOKUP(G22,'Z0000002-508684 BOM triển k hai'!$G$3:$R$42,12,0)</f>
        <v>hộp số S6KA15B</v>
      </c>
      <c r="F22" s="7" t="s">
        <v>7</v>
      </c>
      <c r="G22" s="7" t="s">
        <v>41</v>
      </c>
      <c r="H22" s="7" t="str">
        <f>VLOOKUP(G22,'Z0000002-508684 BOM triển k hai'!$G$3:$H$42,2,0)</f>
        <v>SPG</v>
      </c>
      <c r="I22" s="7">
        <f t="shared" si="0"/>
        <v>2</v>
      </c>
      <c r="J22" s="7">
        <f t="shared" si="1"/>
        <v>12</v>
      </c>
      <c r="K22" s="7" t="str">
        <f>K21</f>
        <v>NG báo đã nhận 27 set, đủ lô 7CV</v>
      </c>
      <c r="L22" s="7" t="s">
        <v>7</v>
      </c>
      <c r="M22" s="7" t="s">
        <v>7</v>
      </c>
      <c r="N22" s="7"/>
      <c r="O22" s="7" t="s">
        <v>7</v>
      </c>
      <c r="P22" s="7" t="s">
        <v>7</v>
      </c>
      <c r="Q22" s="7"/>
      <c r="R22" s="7" t="s">
        <v>7</v>
      </c>
    </row>
    <row r="23" spans="1:18" s="4" customFormat="1" ht="63.6" hidden="1" customHeight="1" x14ac:dyDescent="0.25">
      <c r="A23" s="3" t="s">
        <v>7</v>
      </c>
      <c r="B23" s="13" t="s">
        <v>331</v>
      </c>
      <c r="C23" s="7" t="s">
        <v>8</v>
      </c>
      <c r="D23" s="7" t="s">
        <v>42</v>
      </c>
      <c r="E23" s="7" t="str">
        <f>VLOOKUP(G23,'Z0000002-508684 BOM triển k hai'!$G$3:$R$42,12,0)</f>
        <v>Chốt cài KES-12</v>
      </c>
      <c r="F23" s="7" t="s">
        <v>7</v>
      </c>
      <c r="G23" s="7" t="s">
        <v>43</v>
      </c>
      <c r="H23" s="7" t="str">
        <f>VLOOKUP(G23,'Z0000002-508684 BOM triển k hai'!$G$3:$H$42,2,0)</f>
        <v>Chốt cài</v>
      </c>
      <c r="I23" s="7">
        <f t="shared" si="0"/>
        <v>2</v>
      </c>
      <c r="J23" s="7">
        <f t="shared" si="1"/>
        <v>12</v>
      </c>
      <c r="K23" s="7"/>
      <c r="L23" s="7" t="s">
        <v>7</v>
      </c>
      <c r="M23" s="7" t="s">
        <v>7</v>
      </c>
      <c r="N23" s="7"/>
      <c r="O23" s="7" t="s">
        <v>7</v>
      </c>
      <c r="P23" s="7" t="s">
        <v>7</v>
      </c>
      <c r="Q23" s="7"/>
      <c r="R23" s="7" t="s">
        <v>7</v>
      </c>
    </row>
    <row r="24" spans="1:18" s="4" customFormat="1" ht="63.6" hidden="1" customHeight="1" x14ac:dyDescent="0.25">
      <c r="A24" s="3" t="s">
        <v>7</v>
      </c>
      <c r="B24" s="13" t="s">
        <v>332</v>
      </c>
      <c r="C24" s="7" t="s">
        <v>57</v>
      </c>
      <c r="D24" s="7" t="s">
        <v>58</v>
      </c>
      <c r="E24" s="7" t="str">
        <f>VLOOKUP(G24,'Z0000002-508684 BOM triển k hai'!$G$3:$R$42,12,0)</f>
        <v>Phanh trục STWN8</v>
      </c>
      <c r="F24" s="7" t="s">
        <v>7</v>
      </c>
      <c r="G24" s="7" t="s">
        <v>59</v>
      </c>
      <c r="H24" s="7" t="str">
        <f>VLOOKUP(G24,'Z0000002-508684 BOM triển k hai'!$G$3:$H$42,2,0)</f>
        <v>Phanh trục</v>
      </c>
      <c r="I24" s="7">
        <f t="shared" si="0"/>
        <v>16</v>
      </c>
      <c r="J24" s="7">
        <f t="shared" si="1"/>
        <v>96</v>
      </c>
      <c r="K24" s="7"/>
      <c r="L24" s="7" t="s">
        <v>7</v>
      </c>
      <c r="M24" s="7" t="s">
        <v>7</v>
      </c>
      <c r="N24" s="7"/>
      <c r="O24" s="7" t="s">
        <v>7</v>
      </c>
      <c r="P24" s="7" t="s">
        <v>7</v>
      </c>
      <c r="Q24" s="7"/>
      <c r="R24" s="7" t="s">
        <v>7</v>
      </c>
    </row>
    <row r="25" spans="1:18" s="4" customFormat="1" ht="63.6" hidden="1" customHeight="1" x14ac:dyDescent="0.25">
      <c r="A25" s="3" t="s">
        <v>7</v>
      </c>
      <c r="B25" s="13" t="s">
        <v>333</v>
      </c>
      <c r="C25" s="7" t="s">
        <v>49</v>
      </c>
      <c r="D25" s="7" t="s">
        <v>50</v>
      </c>
      <c r="E25" s="7" t="str">
        <f>VLOOKUP(G25,'Z0000002-508684 BOM triển k hai'!$G$3:$R$42,12,0)</f>
        <v>Rulo</v>
      </c>
      <c r="F25" s="7" t="s">
        <v>7</v>
      </c>
      <c r="G25" s="7" t="s">
        <v>51</v>
      </c>
      <c r="H25" s="7" t="str">
        <f>VLOOKUP(G25,'Z0000002-508684 BOM triển k hai'!$G$3:$H$42,2,0)</f>
        <v>TT</v>
      </c>
      <c r="I25" s="7">
        <f t="shared" si="0"/>
        <v>8</v>
      </c>
      <c r="J25" s="7">
        <f t="shared" si="1"/>
        <v>48</v>
      </c>
      <c r="K25" s="7"/>
      <c r="L25" s="7" t="s">
        <v>7</v>
      </c>
      <c r="M25" s="7" t="s">
        <v>7</v>
      </c>
      <c r="N25" s="7"/>
      <c r="O25" s="7" t="s">
        <v>7</v>
      </c>
      <c r="P25" s="7" t="s">
        <v>7</v>
      </c>
      <c r="Q25" s="7"/>
      <c r="R25" s="7" t="s">
        <v>7</v>
      </c>
    </row>
    <row r="26" spans="1:18" s="4" customFormat="1" ht="63.6" hidden="1" customHeight="1" x14ac:dyDescent="0.25">
      <c r="A26" s="3" t="s">
        <v>7</v>
      </c>
      <c r="B26" s="13" t="s">
        <v>334</v>
      </c>
      <c r="C26" s="7" t="s">
        <v>52</v>
      </c>
      <c r="D26" s="7" t="s">
        <v>53</v>
      </c>
      <c r="E26" s="7" t="str">
        <f>VLOOKUP(G26,'Z0000002-508684 BOM triển k hai'!$G$3:$R$42,12,0)</f>
        <v>Vòng bi SB688ZZ --&gt; đổi sang C-SE688ZZ</v>
      </c>
      <c r="F26" s="7" t="s">
        <v>7</v>
      </c>
      <c r="G26" s="7" t="s">
        <v>54</v>
      </c>
      <c r="H26" s="7" t="str">
        <f>VLOOKUP(G26,'Z0000002-508684 BOM triển k hai'!$G$3:$H$42,2,0)</f>
        <v>VB C-SE688ZZ</v>
      </c>
      <c r="I26" s="7">
        <f t="shared" si="0"/>
        <v>32</v>
      </c>
      <c r="J26" s="7">
        <f t="shared" si="1"/>
        <v>192</v>
      </c>
      <c r="K26" s="7"/>
      <c r="L26" s="7" t="s">
        <v>7</v>
      </c>
      <c r="M26" s="7" t="s">
        <v>7</v>
      </c>
      <c r="N26" s="7"/>
      <c r="O26" s="7" t="s">
        <v>7</v>
      </c>
      <c r="P26" s="7" t="s">
        <v>7</v>
      </c>
      <c r="Q26" s="7"/>
      <c r="R26" s="7" t="s">
        <v>7</v>
      </c>
    </row>
    <row r="27" spans="1:18" s="4" customFormat="1" ht="63.6" hidden="1" customHeight="1" x14ac:dyDescent="0.25">
      <c r="A27" s="3" t="s">
        <v>7</v>
      </c>
      <c r="B27" s="13" t="s">
        <v>335</v>
      </c>
      <c r="C27" s="7" t="s">
        <v>13</v>
      </c>
      <c r="D27" s="7" t="s">
        <v>55</v>
      </c>
      <c r="E27" s="7" t="str">
        <f>VLOOKUP(G27,'Z0000002-508684 BOM triển k hai'!$G$3:$R$42,12,0)</f>
        <v>SUS304, điện hóa</v>
      </c>
      <c r="F27" s="7" t="s">
        <v>7</v>
      </c>
      <c r="G27" s="7" t="s">
        <v>56</v>
      </c>
      <c r="H27" s="7" t="str">
        <f>VLOOKUP(G27,'Z0000002-508684 BOM triển k hai'!$G$3:$H$42,2,0)</f>
        <v>TT</v>
      </c>
      <c r="I27" s="7">
        <f t="shared" si="0"/>
        <v>4</v>
      </c>
      <c r="J27" s="7">
        <f t="shared" si="1"/>
        <v>24</v>
      </c>
      <c r="K27" s="7"/>
      <c r="L27" s="7" t="s">
        <v>7</v>
      </c>
      <c r="M27" s="7" t="s">
        <v>7</v>
      </c>
      <c r="N27" s="7"/>
      <c r="O27" s="7" t="s">
        <v>7</v>
      </c>
      <c r="P27" s="7" t="s">
        <v>7</v>
      </c>
      <c r="Q27" s="7"/>
      <c r="R27" s="7" t="s">
        <v>7</v>
      </c>
    </row>
    <row r="28" spans="1:18" s="4" customFormat="1" ht="63.6" hidden="1" customHeight="1" x14ac:dyDescent="0.25">
      <c r="A28" s="3" t="s">
        <v>7</v>
      </c>
      <c r="B28" s="13" t="s">
        <v>336</v>
      </c>
      <c r="C28" s="7" t="s">
        <v>49</v>
      </c>
      <c r="D28" s="7" t="s">
        <v>60</v>
      </c>
      <c r="E28" s="7" t="str">
        <f>VLOOKUP(G28,'Z0000002-508684 BOM triển k hai'!$G$3:$R$42,12,0)</f>
        <v>Rulo</v>
      </c>
      <c r="F28" s="7" t="s">
        <v>7</v>
      </c>
      <c r="G28" s="7" t="s">
        <v>61</v>
      </c>
      <c r="H28" s="7" t="str">
        <f>VLOOKUP(G28,'Z0000002-508684 BOM triển k hai'!$G$3:$H$42,2,0)</f>
        <v>TT</v>
      </c>
      <c r="I28" s="7">
        <f t="shared" si="0"/>
        <v>8</v>
      </c>
      <c r="J28" s="7">
        <f t="shared" si="1"/>
        <v>48</v>
      </c>
      <c r="K28" s="7"/>
      <c r="L28" s="7" t="s">
        <v>7</v>
      </c>
      <c r="M28" s="7" t="s">
        <v>7</v>
      </c>
      <c r="N28" s="7"/>
      <c r="O28" s="7" t="s">
        <v>7</v>
      </c>
      <c r="P28" s="7" t="s">
        <v>7</v>
      </c>
      <c r="Q28" s="7"/>
      <c r="R28" s="7" t="s">
        <v>7</v>
      </c>
    </row>
    <row r="29" spans="1:18" s="4" customFormat="1" ht="63.6" hidden="1" customHeight="1" x14ac:dyDescent="0.25">
      <c r="A29" s="3" t="s">
        <v>7</v>
      </c>
      <c r="B29" s="13" t="s">
        <v>337</v>
      </c>
      <c r="C29" s="7" t="s">
        <v>49</v>
      </c>
      <c r="D29" s="7" t="s">
        <v>62</v>
      </c>
      <c r="E29" s="7" t="str">
        <f>VLOOKUP(G29,'Z0000002-508684 BOM triển k hai'!$G$3:$R$42,12,0)</f>
        <v>SUS304, điện hóa</v>
      </c>
      <c r="F29" s="7" t="s">
        <v>7</v>
      </c>
      <c r="G29" s="7" t="s">
        <v>63</v>
      </c>
      <c r="H29" s="7" t="str">
        <f>VLOOKUP(G29,'Z0000002-508684 BOM triển k hai'!$G$3:$H$42,2,0)</f>
        <v>TT</v>
      </c>
      <c r="I29" s="7">
        <f t="shared" si="0"/>
        <v>8</v>
      </c>
      <c r="J29" s="7">
        <f t="shared" si="1"/>
        <v>48</v>
      </c>
      <c r="K29" s="7"/>
      <c r="L29" s="7" t="s">
        <v>7</v>
      </c>
      <c r="M29" s="7" t="s">
        <v>7</v>
      </c>
      <c r="N29" s="7"/>
      <c r="O29" s="7" t="s">
        <v>7</v>
      </c>
      <c r="P29" s="7" t="s">
        <v>7</v>
      </c>
      <c r="Q29" s="7"/>
      <c r="R29" s="7" t="s">
        <v>7</v>
      </c>
    </row>
    <row r="30" spans="1:18" s="4" customFormat="1" ht="63.6" hidden="1" customHeight="1" x14ac:dyDescent="0.25">
      <c r="A30" s="3" t="s">
        <v>7</v>
      </c>
      <c r="B30" s="13" t="s">
        <v>338</v>
      </c>
      <c r="C30" s="7" t="s">
        <v>13</v>
      </c>
      <c r="D30" s="7" t="s">
        <v>77</v>
      </c>
      <c r="E30" s="7" t="str">
        <f>VLOOKUP(G30,'Z0000002-508684 BOM triển k hai'!$G$3:$R$42,12,0)</f>
        <v>SUS304, điện hóa</v>
      </c>
      <c r="F30" s="7" t="s">
        <v>7</v>
      </c>
      <c r="G30" s="7" t="s">
        <v>78</v>
      </c>
      <c r="H30" s="7" t="str">
        <f>VLOOKUP(G30,'Z0000002-508684 BOM triển k hai'!$G$3:$H$42,2,0)</f>
        <v>TT</v>
      </c>
      <c r="I30" s="7">
        <f t="shared" si="0"/>
        <v>4</v>
      </c>
      <c r="J30" s="7">
        <f t="shared" si="1"/>
        <v>24</v>
      </c>
      <c r="K30" s="7"/>
      <c r="L30" s="7" t="s">
        <v>7</v>
      </c>
      <c r="M30" s="7" t="s">
        <v>7</v>
      </c>
      <c r="N30" s="7"/>
      <c r="O30" s="7" t="s">
        <v>7</v>
      </c>
      <c r="P30" s="7" t="s">
        <v>7</v>
      </c>
      <c r="Q30" s="7"/>
      <c r="R30" s="7" t="s">
        <v>7</v>
      </c>
    </row>
    <row r="31" spans="1:18" s="4" customFormat="1" ht="63.6" hidden="1" customHeight="1" x14ac:dyDescent="0.25">
      <c r="A31" s="3" t="s">
        <v>7</v>
      </c>
      <c r="B31" s="13" t="s">
        <v>339</v>
      </c>
      <c r="C31" s="7" t="s">
        <v>13</v>
      </c>
      <c r="D31" s="7" t="s">
        <v>79</v>
      </c>
      <c r="E31" s="7" t="str">
        <f>VLOOKUP(G31,'Z0000002-508684 BOM triển k hai'!$G$3:$R$42,12,0)</f>
        <v>AL6061 anode đen</v>
      </c>
      <c r="F31" s="7" t="s">
        <v>7</v>
      </c>
      <c r="G31" s="7" t="s">
        <v>37</v>
      </c>
      <c r="H31" s="7" t="str">
        <f>VLOOKUP(G31,'Z0000002-508684 BOM triển k hai'!$G$3:$H$42,2,0)</f>
        <v>GTAM</v>
      </c>
      <c r="I31" s="7">
        <f t="shared" si="0"/>
        <v>4</v>
      </c>
      <c r="J31" s="7">
        <f t="shared" si="1"/>
        <v>24</v>
      </c>
      <c r="K31" s="7" t="s">
        <v>536</v>
      </c>
      <c r="L31" s="7" t="s">
        <v>7</v>
      </c>
      <c r="M31" s="7" t="s">
        <v>7</v>
      </c>
      <c r="N31" s="7"/>
      <c r="O31" s="7" t="s">
        <v>7</v>
      </c>
      <c r="P31" s="7" t="s">
        <v>7</v>
      </c>
      <c r="Q31" s="7"/>
      <c r="R31" s="7" t="s">
        <v>7</v>
      </c>
    </row>
    <row r="32" spans="1:18" s="4" customFormat="1" ht="63.6" hidden="1" customHeight="1" x14ac:dyDescent="0.25">
      <c r="A32" s="3" t="s">
        <v>7</v>
      </c>
      <c r="B32" s="13" t="s">
        <v>340</v>
      </c>
      <c r="C32" s="7" t="s">
        <v>13</v>
      </c>
      <c r="D32" s="7" t="s">
        <v>80</v>
      </c>
      <c r="E32" s="7" t="str">
        <f>VLOOKUP(G32,'Z0000002-508684 BOM triển k hai'!$G$3:$R$42,12,0)</f>
        <v>AL6061 anode đen</v>
      </c>
      <c r="F32" s="7" t="s">
        <v>7</v>
      </c>
      <c r="G32" s="7" t="s">
        <v>81</v>
      </c>
      <c r="H32" s="7" t="str">
        <f>VLOOKUP(G32,'Z0000002-508684 BOM triển k hai'!$G$3:$H$42,2,0)</f>
        <v>GTAM</v>
      </c>
      <c r="I32" s="7">
        <f t="shared" si="0"/>
        <v>4</v>
      </c>
      <c r="J32" s="7">
        <f t="shared" si="1"/>
        <v>24</v>
      </c>
      <c r="K32" s="7" t="s">
        <v>536</v>
      </c>
      <c r="L32" s="7" t="s">
        <v>7</v>
      </c>
      <c r="M32" s="7" t="s">
        <v>7</v>
      </c>
      <c r="N32" s="7"/>
      <c r="O32" s="7" t="s">
        <v>7</v>
      </c>
      <c r="P32" s="7" t="s">
        <v>7</v>
      </c>
      <c r="Q32" s="7"/>
      <c r="R32" s="7" t="s">
        <v>7</v>
      </c>
    </row>
    <row r="33" spans="1:18" s="4" customFormat="1" ht="63.6" hidden="1" customHeight="1" x14ac:dyDescent="0.25">
      <c r="A33" s="3" t="s">
        <v>7</v>
      </c>
      <c r="B33" s="13" t="s">
        <v>341</v>
      </c>
      <c r="C33" s="7" t="s">
        <v>8</v>
      </c>
      <c r="D33" s="7" t="s">
        <v>64</v>
      </c>
      <c r="E33" s="7" t="str">
        <f>VLOOKUP(G33,'Z0000002-508684 BOM triển k hai'!$G$3:$R$42,12,0)</f>
        <v>Trục</v>
      </c>
      <c r="F33" s="7" t="s">
        <v>7</v>
      </c>
      <c r="G33" s="7" t="s">
        <v>65</v>
      </c>
      <c r="H33" s="7" t="str">
        <f>VLOOKUP(G33,'Z0000002-508684 BOM triển k hai'!$G$3:$H$42,2,0)</f>
        <v>TT</v>
      </c>
      <c r="I33" s="7">
        <f t="shared" si="0"/>
        <v>2</v>
      </c>
      <c r="J33" s="7">
        <f t="shared" si="1"/>
        <v>12</v>
      </c>
      <c r="K33" s="7"/>
      <c r="L33" s="7" t="s">
        <v>7</v>
      </c>
      <c r="M33" s="7" t="s">
        <v>7</v>
      </c>
      <c r="N33" s="7"/>
      <c r="O33" s="7" t="s">
        <v>7</v>
      </c>
      <c r="P33" s="7" t="s">
        <v>7</v>
      </c>
      <c r="Q33" s="7"/>
      <c r="R33" s="7" t="s">
        <v>7</v>
      </c>
    </row>
    <row r="34" spans="1:18" s="4" customFormat="1" ht="63.6" hidden="1" customHeight="1" x14ac:dyDescent="0.25">
      <c r="A34" s="3" t="s">
        <v>7</v>
      </c>
      <c r="B34" s="13" t="s">
        <v>342</v>
      </c>
      <c r="C34" s="7" t="s">
        <v>13</v>
      </c>
      <c r="D34" s="7" t="s">
        <v>66</v>
      </c>
      <c r="E34" s="7" t="str">
        <f>VLOOKUP(G34,'Z0000002-508684 BOM triển k hai'!$G$3:$R$42,12,0)</f>
        <v>Rulo</v>
      </c>
      <c r="F34" s="7" t="s">
        <v>7</v>
      </c>
      <c r="G34" s="7" t="s">
        <v>67</v>
      </c>
      <c r="H34" s="7" t="str">
        <f>VLOOKUP(G34,'Z0000002-508684 BOM triển k hai'!$G$3:$H$42,2,0)</f>
        <v>TT</v>
      </c>
      <c r="I34" s="7">
        <f t="shared" si="0"/>
        <v>4</v>
      </c>
      <c r="J34" s="7">
        <f t="shared" si="1"/>
        <v>24</v>
      </c>
      <c r="K34" s="7"/>
      <c r="L34" s="7" t="s">
        <v>7</v>
      </c>
      <c r="M34" s="7" t="s">
        <v>7</v>
      </c>
      <c r="N34" s="7"/>
      <c r="O34" s="7" t="s">
        <v>7</v>
      </c>
      <c r="P34" s="7" t="s">
        <v>7</v>
      </c>
      <c r="Q34" s="7"/>
      <c r="R34" s="7" t="s">
        <v>7</v>
      </c>
    </row>
    <row r="35" spans="1:18" s="4" customFormat="1" ht="63.6" hidden="1" customHeight="1" x14ac:dyDescent="0.25">
      <c r="A35" s="3" t="s">
        <v>7</v>
      </c>
      <c r="B35" s="13" t="s">
        <v>343</v>
      </c>
      <c r="C35" s="7" t="s">
        <v>13</v>
      </c>
      <c r="D35" s="7" t="s">
        <v>68</v>
      </c>
      <c r="E35" s="7" t="str">
        <f>VLOOKUP(G35,'Z0000002-508684 BOM triển k hai'!$G$3:$R$42,12,0)</f>
        <v>Vòng bi SB6000ZZ --&gt; đổi sang C-SE6000ZZ</v>
      </c>
      <c r="F35" s="7" t="s">
        <v>7</v>
      </c>
      <c r="G35" s="7" t="s">
        <v>69</v>
      </c>
      <c r="H35" s="7" t="str">
        <f>VLOOKUP(G35,'Z0000002-508684 BOM triển k hai'!$G$3:$H$42,2,0)</f>
        <v>VB C-SE6000ZZ</v>
      </c>
      <c r="I35" s="7">
        <f t="shared" si="0"/>
        <v>4</v>
      </c>
      <c r="J35" s="7">
        <f t="shared" si="1"/>
        <v>24</v>
      </c>
      <c r="K35" s="7"/>
      <c r="L35" s="7" t="s">
        <v>7</v>
      </c>
      <c r="M35" s="7" t="s">
        <v>7</v>
      </c>
      <c r="N35" s="7"/>
      <c r="O35" s="7" t="s">
        <v>7</v>
      </c>
      <c r="P35" s="7" t="s">
        <v>7</v>
      </c>
      <c r="Q35" s="7"/>
      <c r="R35" s="7" t="s">
        <v>7</v>
      </c>
    </row>
    <row r="36" spans="1:18" s="4" customFormat="1" ht="63.6" hidden="1" customHeight="1" x14ac:dyDescent="0.25">
      <c r="A36" s="3" t="s">
        <v>7</v>
      </c>
      <c r="B36" s="13" t="s">
        <v>344</v>
      </c>
      <c r="C36" s="7" t="s">
        <v>13</v>
      </c>
      <c r="D36" s="7" t="s">
        <v>70</v>
      </c>
      <c r="E36" s="7" t="str">
        <f>VLOOKUP(G36,'Z0000002-508684 BOM triển k hai'!$G$3:$R$42,12,0)</f>
        <v>phanh trục STWN10</v>
      </c>
      <c r="F36" s="7" t="s">
        <v>7</v>
      </c>
      <c r="G36" s="7" t="s">
        <v>71</v>
      </c>
      <c r="H36" s="7" t="str">
        <f>VLOOKUP(G36,'Z0000002-508684 BOM triển k hai'!$G$3:$H$42,2,0)</f>
        <v>Phanh trục</v>
      </c>
      <c r="I36" s="7">
        <f t="shared" si="0"/>
        <v>4</v>
      </c>
      <c r="J36" s="7">
        <f t="shared" si="1"/>
        <v>24</v>
      </c>
      <c r="K36" s="7"/>
      <c r="L36" s="7" t="s">
        <v>7</v>
      </c>
      <c r="M36" s="7" t="s">
        <v>7</v>
      </c>
      <c r="N36" s="7"/>
      <c r="O36" s="7" t="s">
        <v>7</v>
      </c>
      <c r="P36" s="7" t="s">
        <v>7</v>
      </c>
      <c r="Q36" s="7"/>
      <c r="R36" s="7" t="s">
        <v>7</v>
      </c>
    </row>
    <row r="37" spans="1:18" s="4" customFormat="1" ht="63.6" hidden="1" customHeight="1" x14ac:dyDescent="0.25">
      <c r="A37" s="3" t="s">
        <v>7</v>
      </c>
      <c r="B37" s="13" t="s">
        <v>345</v>
      </c>
      <c r="C37" s="7" t="s">
        <v>8</v>
      </c>
      <c r="D37" s="7" t="s">
        <v>72</v>
      </c>
      <c r="E37" s="7" t="str">
        <f>VLOOKUP(G37,'Z0000002-508684 BOM triển k hai'!$G$3:$R$42,12,0)</f>
        <v>HTPA18S5M100-B-N10-FC30.0 đổi sang HTPA18S5M150-B-N10-FC30.0</v>
      </c>
      <c r="F37" s="7" t="s">
        <v>7</v>
      </c>
      <c r="G37" s="7" t="s">
        <v>73</v>
      </c>
      <c r="H37" s="7" t="str">
        <f>VLOOKUP(G37,'Z0000002-508684 BOM triển k hai'!$G$3:$H$42,2,0)</f>
        <v>UP</v>
      </c>
      <c r="I37" s="7">
        <f t="shared" si="0"/>
        <v>2</v>
      </c>
      <c r="J37" s="7">
        <f t="shared" si="1"/>
        <v>12</v>
      </c>
      <c r="K37" s="7"/>
      <c r="L37" s="7" t="s">
        <v>7</v>
      </c>
      <c r="M37" s="7" t="s">
        <v>7</v>
      </c>
      <c r="N37" s="7"/>
      <c r="O37" s="7" t="s">
        <v>7</v>
      </c>
      <c r="P37" s="7" t="s">
        <v>7</v>
      </c>
      <c r="Q37" s="7"/>
      <c r="R37" s="7" t="s">
        <v>7</v>
      </c>
    </row>
    <row r="38" spans="1:18" s="4" customFormat="1" ht="63.6" hidden="1" customHeight="1" x14ac:dyDescent="0.25">
      <c r="A38" s="3" t="s">
        <v>7</v>
      </c>
      <c r="B38" s="13" t="s">
        <v>346</v>
      </c>
      <c r="C38" s="7" t="s">
        <v>74</v>
      </c>
      <c r="D38" s="7" t="s">
        <v>75</v>
      </c>
      <c r="E38" s="7" t="str">
        <f>VLOOKUP(G38,'Z0000002-508684 BOM triển k hai'!$G$3:$R$42,12,0)</f>
        <v>Chốt cài KES-15</v>
      </c>
      <c r="F38" s="7" t="s">
        <v>7</v>
      </c>
      <c r="G38" s="7" t="s">
        <v>76</v>
      </c>
      <c r="H38" s="7" t="str">
        <f>VLOOKUP(G38,'Z0000002-508684 BOM triển k hai'!$G$3:$H$42,2,0)</f>
        <v>Chốt cài</v>
      </c>
      <c r="I38" s="7">
        <f t="shared" si="0"/>
        <v>6</v>
      </c>
      <c r="J38" s="7">
        <f t="shared" si="1"/>
        <v>36</v>
      </c>
      <c r="K38" s="7"/>
      <c r="L38" s="7" t="s">
        <v>7</v>
      </c>
      <c r="M38" s="7" t="s">
        <v>7</v>
      </c>
      <c r="N38" s="7"/>
      <c r="O38" s="7" t="s">
        <v>7</v>
      </c>
      <c r="P38" s="7" t="s">
        <v>7</v>
      </c>
      <c r="Q38" s="7"/>
      <c r="R38" s="7" t="s">
        <v>7</v>
      </c>
    </row>
    <row r="40" spans="1:18" x14ac:dyDescent="0.25">
      <c r="H40" s="15" t="str">
        <f>'Z0000002-508684 BOM triển k hai'!H45</f>
        <v>Belt</v>
      </c>
      <c r="I40" s="15" t="str">
        <f>'Z0000002-508684 BOM triển k hai'!I45</f>
        <v>đã nhận đủ hàng 9/4</v>
      </c>
      <c r="J40" s="15" t="str">
        <f>'Z0000002-508684 BOM triển k hai'!J45</f>
        <v>đã đặt hàng 10/4, hẹn 25/4 giao 50%, 5/5 giao nốt</v>
      </c>
      <c r="K40" s="15">
        <f>'Z0000002-508684 BOM triển k hai'!K45</f>
        <v>0</v>
      </c>
    </row>
    <row r="41" spans="1:18" x14ac:dyDescent="0.25">
      <c r="H41" s="15" t="str">
        <f>'Z0000002-508684 BOM triển k hai'!H46</f>
        <v>CG</v>
      </c>
      <c r="I41" s="15" t="str">
        <f>'Z0000002-508684 BOM triển k hai'!I46</f>
        <v>đã xong 9/4</v>
      </c>
      <c r="J41" s="15">
        <f>'Z0000002-508684 BOM triển k hai'!J46</f>
        <v>0</v>
      </c>
      <c r="K41" s="15">
        <f>'Z0000002-508684 BOM triển k hai'!K46</f>
        <v>0</v>
      </c>
    </row>
    <row r="42" spans="1:18" x14ac:dyDescent="0.25">
      <c r="H42" s="15" t="str">
        <f>'Z0000002-508684 BOM triển k hai'!H47</f>
        <v>Chốt cài</v>
      </c>
      <c r="I42" s="15" t="str">
        <f>'Z0000002-508684 BOM triển k hai'!I47</f>
        <v>đã tồn kho</v>
      </c>
      <c r="J42" s="15" t="str">
        <f>'Z0000002-508684 BOM triển k hai'!J47</f>
        <v>đã tồn kho</v>
      </c>
      <c r="K42" s="15">
        <f>'Z0000002-508684 BOM triển k hai'!K47</f>
        <v>0</v>
      </c>
    </row>
    <row r="43" spans="1:18" x14ac:dyDescent="0.25">
      <c r="H43" s="15" t="str">
        <f>'Z0000002-508684 BOM triển k hai'!H48</f>
        <v>GTAM</v>
      </c>
      <c r="I43" s="15" t="str">
        <f>'Z0000002-508684 BOM triển k hai'!I48</f>
        <v>9/4 đã xong</v>
      </c>
      <c r="J43" s="15">
        <f>'Z0000002-508684 BOM triển k hai'!J48</f>
        <v>0</v>
      </c>
      <c r="K43" s="15">
        <f>'Z0000002-508684 BOM triển k hai'!K48</f>
        <v>0</v>
      </c>
    </row>
    <row r="44" spans="1:18" x14ac:dyDescent="0.25">
      <c r="H44" s="15" t="str">
        <f>'Z0000002-508684 BOM triển k hai'!H49</f>
        <v>MI</v>
      </c>
      <c r="I44" s="15" t="str">
        <f>'Z0000002-508684 BOM triển k hai'!I49</f>
        <v>đã chốt đặt, dự kiến về trước 10/4</v>
      </c>
      <c r="J44" s="15" t="str">
        <f>'Z0000002-508684 BOM triển k hai'!J49</f>
        <v xml:space="preserve">đã nhận đủ 13/4, </v>
      </c>
      <c r="K44" s="15">
        <f>'Z0000002-508684 BOM triển k hai'!K49</f>
        <v>0</v>
      </c>
    </row>
    <row r="45" spans="1:18" x14ac:dyDescent="0.25">
      <c r="H45" s="15" t="str">
        <f>'Z0000002-508684 BOM triển k hai'!H50</f>
        <v>TT</v>
      </c>
      <c r="I45" s="15" t="str">
        <f>'Z0000002-508684 BOM triển k hai'!I50</f>
        <v>đã giao lô đầu 30 set</v>
      </c>
      <c r="J45" s="15" t="str">
        <f>'Z0000002-508684 BOM triển k hai'!J50</f>
        <v>9/4 nhận 159 bộ, thiếu rulo chủ động giao sau</v>
      </c>
      <c r="K45" s="15">
        <f>'Z0000002-508684 BOM triển k hai'!K50</f>
        <v>0</v>
      </c>
    </row>
    <row r="46" spans="1:18" x14ac:dyDescent="0.25">
      <c r="H46" s="15" t="str">
        <f>'Z0000002-508684 BOM triển k hai'!H51</f>
        <v>Phanh trục</v>
      </c>
      <c r="I46" s="15" t="str">
        <f>'Z0000002-508684 BOM triển k hai'!I51</f>
        <v>đã tồn kho sẵn</v>
      </c>
      <c r="J46" s="15" t="str">
        <f>'Z0000002-508684 BOM triển k hai'!J51</f>
        <v>đã tồn kho sẵn</v>
      </c>
      <c r="K46" s="15">
        <f>'Z0000002-508684 BOM triển k hai'!K51</f>
        <v>0</v>
      </c>
    </row>
    <row r="47" spans="1:18" x14ac:dyDescent="0.25">
      <c r="H47" s="15" t="str">
        <f>'Z0000002-508684 BOM triển k hai'!H52</f>
        <v>SPG</v>
      </c>
      <c r="I47" s="15" t="str">
        <f>'Z0000002-508684 BOM triển k hai'!I52</f>
        <v>NG báo đã nhận 27 set, đủ lô 7CV</v>
      </c>
      <c r="J47" s="15">
        <f>'Z0000002-508684 BOM triển k hai'!J52</f>
        <v>0</v>
      </c>
      <c r="K47" s="15">
        <f>'Z0000002-508684 BOM triển k hai'!K52</f>
        <v>0</v>
      </c>
    </row>
    <row r="48" spans="1:18" x14ac:dyDescent="0.25">
      <c r="H48" s="15" t="str">
        <f>'Z0000002-508684 BOM triển k hai'!H53</f>
        <v>UP</v>
      </c>
      <c r="I48" s="15" t="str">
        <f>'Z0000002-508684 BOM triển k hai'!I53</f>
        <v>đã chốt đặt, dự kiến về trước 10/4</v>
      </c>
      <c r="J48" s="15">
        <f>'Z0000002-508684 BOM triển k hai'!J53</f>
        <v>0</v>
      </c>
      <c r="K48" s="15">
        <f>'Z0000002-508684 BOM triển k hai'!K53</f>
        <v>0</v>
      </c>
    </row>
    <row r="49" spans="8:11" x14ac:dyDescent="0.25">
      <c r="H49" s="15" t="str">
        <f>'Z0000002-508684 BOM triển k hai'!H54</f>
        <v>VB C-SE688ZZ</v>
      </c>
      <c r="I49" s="15" t="str">
        <f>'Z0000002-508684 BOM triển k hai'!I54</f>
        <v>đặt tổng 432, đã về hàng 9/4</v>
      </c>
      <c r="J49" s="15" t="str">
        <f>'Z0000002-508684 BOM triển k hai'!J54</f>
        <v>Tổng lô đặt HC 2280, 14/4 về trc 630</v>
      </c>
      <c r="K49" s="15">
        <f>'Z0000002-508684 BOM triển k hai'!K54</f>
        <v>0</v>
      </c>
    </row>
    <row r="50" spans="8:11" x14ac:dyDescent="0.25">
      <c r="H50" s="15" t="str">
        <f>'Z0000002-508700 BOM triển k hai'!H50</f>
        <v>VB C-SE6000ZZ</v>
      </c>
      <c r="I50" s="15" t="str">
        <f>'Z0000002-508700 BOM triển k hai'!I50</f>
        <v>đã nhận hàng 27/3</v>
      </c>
      <c r="J50" s="15" t="str">
        <f>'Z0000002-508684 BOM triển k hai'!J55</f>
        <v>tổng lô 324, đã về đủ 13/4</v>
      </c>
      <c r="K50" s="15"/>
    </row>
    <row r="51" spans="8:11" x14ac:dyDescent="0.25">
      <c r="H51" s="15">
        <f>'Z0000002-508684 BOM triển k hai'!H56</f>
        <v>0</v>
      </c>
      <c r="I51" s="15">
        <f>'Z0000002-508684 BOM triển k hai'!I56</f>
        <v>0</v>
      </c>
      <c r="J51" s="15"/>
      <c r="K51" s="15">
        <f>'Z0000002-508684 BOM triển k hai'!K56</f>
        <v>0</v>
      </c>
    </row>
  </sheetData>
  <autoFilter ref="A2:I38" xr:uid="{8C17A55B-6EB1-40B3-BEB9-9FAE7CD2A47B}">
    <filterColumn colId="7">
      <filters>
        <filter val="SPG"/>
      </filters>
    </filterColumn>
  </autoFilter>
  <phoneticPr fontId="9" type="noConversion"/>
  <conditionalFormatting sqref="G1:G1048576">
    <cfRule type="duplicateValues" dxfId="3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43EB-1D94-4CF9-8313-FDF43471428E}">
  <sheetPr filterMode="1"/>
  <dimension ref="A1:R54"/>
  <sheetViews>
    <sheetView tabSelected="1" workbookViewId="0">
      <selection activeCell="E24" sqref="E24"/>
    </sheetView>
  </sheetViews>
  <sheetFormatPr defaultRowHeight="15" x14ac:dyDescent="0.25"/>
  <cols>
    <col min="1" max="1" width="16.42578125" customWidth="1"/>
    <col min="2" max="2" width="12" customWidth="1"/>
    <col min="3" max="3" width="9.7109375" customWidth="1"/>
    <col min="4" max="4" width="41.28515625" customWidth="1"/>
    <col min="5" max="5" width="78.42578125" customWidth="1"/>
    <col min="6" max="6" width="15.85546875" customWidth="1"/>
    <col min="7" max="7" width="19.7109375" customWidth="1"/>
    <col min="8" max="17" width="19.42578125" customWidth="1"/>
  </cols>
  <sheetData>
    <row r="1" spans="1:18" ht="27" thickBot="1" x14ac:dyDescent="0.45">
      <c r="A1" s="1" t="s">
        <v>137</v>
      </c>
      <c r="B1" s="2"/>
      <c r="C1" s="2"/>
      <c r="D1" s="2"/>
      <c r="H1" s="8" t="s">
        <v>234</v>
      </c>
      <c r="I1" s="8">
        <v>2</v>
      </c>
      <c r="J1" s="8">
        <f>'[1]ducpt trien khai'!$I$30</f>
        <v>12</v>
      </c>
    </row>
    <row r="2" spans="1:18" s="6" customFormat="1" ht="16.5" thickTop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tr">
        <f>'Z0000002-508700 BOM triển k hai'!H2</f>
        <v>NCC/vật tư</v>
      </c>
      <c r="I2" s="9" t="s">
        <v>234</v>
      </c>
      <c r="J2" s="9"/>
      <c r="K2" s="9" t="s">
        <v>519</v>
      </c>
      <c r="L2" s="5"/>
      <c r="M2" s="5"/>
      <c r="N2" s="5"/>
      <c r="O2" s="5"/>
      <c r="P2" s="5"/>
      <c r="Q2" s="5"/>
      <c r="R2" s="6" t="s">
        <v>7</v>
      </c>
    </row>
    <row r="3" spans="1:18" s="4" customFormat="1" ht="57" hidden="1" customHeight="1" x14ac:dyDescent="0.25">
      <c r="A3" s="3" t="s">
        <v>7</v>
      </c>
      <c r="B3" s="13" t="s">
        <v>347</v>
      </c>
      <c r="C3" s="7" t="s">
        <v>8</v>
      </c>
      <c r="D3" s="7" t="s">
        <v>11</v>
      </c>
      <c r="E3" s="7" t="str">
        <f>VLOOKUP(G3,'Z0000002-508684 BOM triển k hai'!$G$3:$R$42,12,0)</f>
        <v>SUS304, điện hóa</v>
      </c>
      <c r="F3" s="7" t="s">
        <v>7</v>
      </c>
      <c r="G3" s="7" t="s">
        <v>12</v>
      </c>
      <c r="H3" s="7" t="str">
        <f>VLOOKUP(G3,'Z0000002-508684 BOM triển k hai'!$G$3:$H$42,2,0)</f>
        <v>CG</v>
      </c>
      <c r="I3" s="7">
        <f>$I$1*C3</f>
        <v>2</v>
      </c>
      <c r="J3" s="7">
        <f>$J$1*C3</f>
        <v>12</v>
      </c>
      <c r="K3" s="7" t="s">
        <v>7</v>
      </c>
      <c r="L3" s="7" t="s">
        <v>7</v>
      </c>
      <c r="M3" s="7"/>
      <c r="N3" s="7" t="s">
        <v>7</v>
      </c>
      <c r="O3" s="7" t="s">
        <v>7</v>
      </c>
      <c r="P3" s="7"/>
      <c r="Q3" s="7" t="s">
        <v>7</v>
      </c>
      <c r="R3" s="4" t="s">
        <v>7</v>
      </c>
    </row>
    <row r="4" spans="1:18" s="4" customFormat="1" ht="57" hidden="1" customHeight="1" x14ac:dyDescent="0.25">
      <c r="A4" s="3" t="s">
        <v>7</v>
      </c>
      <c r="B4" s="13" t="s">
        <v>348</v>
      </c>
      <c r="C4" s="7" t="s">
        <v>8</v>
      </c>
      <c r="D4" s="7" t="s">
        <v>16</v>
      </c>
      <c r="E4" s="7" t="str">
        <f>VLOOKUP(G4,'Z0000002-508684 BOM triển k hai'!$G$3:$R$42,12,0)</f>
        <v>SUS304, điện hóa</v>
      </c>
      <c r="F4" s="7" t="s">
        <v>7</v>
      </c>
      <c r="G4" s="7" t="s">
        <v>17</v>
      </c>
      <c r="H4" s="7" t="str">
        <f>VLOOKUP(G4,'Z0000002-508684 BOM triển k hai'!$G$3:$H$42,2,0)</f>
        <v>CG</v>
      </c>
      <c r="I4" s="7">
        <f t="shared" ref="I4:I41" si="0">$I$1*C4</f>
        <v>2</v>
      </c>
      <c r="J4" s="7">
        <f t="shared" ref="J4:J41" si="1">$J$1*C4</f>
        <v>12</v>
      </c>
      <c r="K4" s="7" t="s">
        <v>7</v>
      </c>
      <c r="L4" s="7" t="s">
        <v>7</v>
      </c>
      <c r="M4" s="7"/>
      <c r="N4" s="7" t="s">
        <v>7</v>
      </c>
      <c r="O4" s="7" t="s">
        <v>7</v>
      </c>
      <c r="P4" s="7"/>
      <c r="Q4" s="7" t="s">
        <v>7</v>
      </c>
      <c r="R4" s="4" t="s">
        <v>7</v>
      </c>
    </row>
    <row r="5" spans="1:18" s="4" customFormat="1" ht="57" hidden="1" customHeight="1" x14ac:dyDescent="0.25">
      <c r="A5" s="3" t="s">
        <v>7</v>
      </c>
      <c r="B5" s="13" t="s">
        <v>349</v>
      </c>
      <c r="C5" s="7" t="s">
        <v>8</v>
      </c>
      <c r="D5" s="7" t="s">
        <v>125</v>
      </c>
      <c r="E5" s="7" t="str">
        <f>E4</f>
        <v>SUS304, điện hóa</v>
      </c>
      <c r="F5" s="7" t="s">
        <v>7</v>
      </c>
      <c r="G5" s="7" t="s">
        <v>119</v>
      </c>
      <c r="H5" s="7" t="str">
        <f>H4</f>
        <v>CG</v>
      </c>
      <c r="I5" s="7">
        <f t="shared" si="0"/>
        <v>2</v>
      </c>
      <c r="J5" s="7">
        <f t="shared" si="1"/>
        <v>12</v>
      </c>
      <c r="K5" s="7" t="s">
        <v>7</v>
      </c>
      <c r="L5" s="7" t="s">
        <v>7</v>
      </c>
      <c r="M5" s="7"/>
      <c r="N5" s="7" t="s">
        <v>7</v>
      </c>
      <c r="O5" s="7" t="s">
        <v>7</v>
      </c>
      <c r="P5" s="7"/>
      <c r="Q5" s="7" t="s">
        <v>7</v>
      </c>
      <c r="R5" s="4" t="s">
        <v>7</v>
      </c>
    </row>
    <row r="6" spans="1:18" s="4" customFormat="1" ht="57" hidden="1" customHeight="1" x14ac:dyDescent="0.25">
      <c r="A6" s="3" t="s">
        <v>7</v>
      </c>
      <c r="B6" s="13" t="s">
        <v>350</v>
      </c>
      <c r="C6" s="7" t="s">
        <v>8</v>
      </c>
      <c r="D6" s="7" t="s">
        <v>126</v>
      </c>
      <c r="E6" s="7" t="str">
        <f>E5</f>
        <v>SUS304, điện hóa</v>
      </c>
      <c r="F6" s="7" t="s">
        <v>7</v>
      </c>
      <c r="G6" s="7" t="s">
        <v>119</v>
      </c>
      <c r="H6" s="7" t="str">
        <f>H5</f>
        <v>CG</v>
      </c>
      <c r="I6" s="7">
        <f t="shared" si="0"/>
        <v>2</v>
      </c>
      <c r="J6" s="7">
        <f t="shared" si="1"/>
        <v>12</v>
      </c>
      <c r="K6" s="7" t="s">
        <v>7</v>
      </c>
      <c r="L6" s="7" t="s">
        <v>7</v>
      </c>
      <c r="M6" s="7"/>
      <c r="N6" s="7" t="s">
        <v>7</v>
      </c>
      <c r="O6" s="7" t="s">
        <v>7</v>
      </c>
      <c r="P6" s="7"/>
      <c r="Q6" s="7" t="s">
        <v>7</v>
      </c>
      <c r="R6" s="4" t="s">
        <v>7</v>
      </c>
    </row>
    <row r="7" spans="1:18" s="4" customFormat="1" ht="57" hidden="1" customHeight="1" x14ac:dyDescent="0.25">
      <c r="A7" s="3" t="s">
        <v>7</v>
      </c>
      <c r="B7" s="13" t="s">
        <v>351</v>
      </c>
      <c r="C7" s="7" t="s">
        <v>8</v>
      </c>
      <c r="D7" s="7" t="s">
        <v>9</v>
      </c>
      <c r="E7" s="14" t="str">
        <f>VLOOKUP(G7,'Z0000002-508684 BOM triển k hai'!$G$3:$R$42,12,0)</f>
        <v>TTBU250T5-100 --&gt; đổi sang C-TTBN250T5-150</v>
      </c>
      <c r="F7" s="7" t="s">
        <v>7</v>
      </c>
      <c r="G7" s="7" t="s">
        <v>10</v>
      </c>
      <c r="H7" s="7" t="str">
        <f>VLOOKUP(G7,'Z0000002-508684 BOM triển k hai'!$G$3:$H$42,2,0)</f>
        <v>MI</v>
      </c>
      <c r="I7" s="7">
        <f t="shared" si="0"/>
        <v>2</v>
      </c>
      <c r="J7" s="7">
        <f t="shared" si="1"/>
        <v>12</v>
      </c>
      <c r="K7" s="7" t="s">
        <v>7</v>
      </c>
      <c r="L7" s="7" t="s">
        <v>7</v>
      </c>
      <c r="M7" s="7"/>
      <c r="N7" s="7" t="s">
        <v>7</v>
      </c>
      <c r="O7" s="7" t="s">
        <v>7</v>
      </c>
      <c r="P7" s="7"/>
      <c r="Q7" s="7" t="s">
        <v>7</v>
      </c>
      <c r="R7" s="4" t="s">
        <v>7</v>
      </c>
    </row>
    <row r="8" spans="1:18" s="4" customFormat="1" ht="57" hidden="1" customHeight="1" x14ac:dyDescent="0.25">
      <c r="A8" s="3" t="s">
        <v>7</v>
      </c>
      <c r="B8" s="13" t="s">
        <v>352</v>
      </c>
      <c r="C8" s="7" t="s">
        <v>13</v>
      </c>
      <c r="D8" s="7" t="s">
        <v>88</v>
      </c>
      <c r="E8" s="7" t="str">
        <f>VLOOKUP(G8,'Z0000002-508684 BOM triển k hai'!$G$3:$R$42,12,0)</f>
        <v>AL6061 anode đen</v>
      </c>
      <c r="F8" s="7" t="s">
        <v>7</v>
      </c>
      <c r="G8" s="7" t="s">
        <v>89</v>
      </c>
      <c r="H8" s="7" t="str">
        <f>VLOOKUP(G8,'Z0000002-508684 BOM triển k hai'!$G$3:$H$42,2,0)</f>
        <v>GTAM</v>
      </c>
      <c r="I8" s="7">
        <f t="shared" si="0"/>
        <v>4</v>
      </c>
      <c r="J8" s="7">
        <f t="shared" si="1"/>
        <v>24</v>
      </c>
      <c r="K8" s="7" t="s">
        <v>536</v>
      </c>
      <c r="L8" s="7" t="s">
        <v>7</v>
      </c>
      <c r="M8" s="7"/>
      <c r="N8" s="7" t="s">
        <v>7</v>
      </c>
      <c r="O8" s="7" t="s">
        <v>7</v>
      </c>
      <c r="P8" s="7"/>
      <c r="Q8" s="7" t="s">
        <v>7</v>
      </c>
      <c r="R8" s="4" t="s">
        <v>7</v>
      </c>
    </row>
    <row r="9" spans="1:18" s="4" customFormat="1" ht="57" hidden="1" customHeight="1" x14ac:dyDescent="0.25">
      <c r="A9" s="3" t="s">
        <v>7</v>
      </c>
      <c r="B9" s="13" t="s">
        <v>353</v>
      </c>
      <c r="C9" s="7" t="s">
        <v>13</v>
      </c>
      <c r="D9" s="7" t="s">
        <v>127</v>
      </c>
      <c r="E9" s="7" t="str">
        <f>E8</f>
        <v>AL6061 anode đen</v>
      </c>
      <c r="F9" s="7" t="s">
        <v>7</v>
      </c>
      <c r="G9" s="7" t="s">
        <v>128</v>
      </c>
      <c r="H9" s="7" t="str">
        <f>H8</f>
        <v>GTAM</v>
      </c>
      <c r="I9" s="7">
        <f t="shared" si="0"/>
        <v>4</v>
      </c>
      <c r="J9" s="7">
        <f t="shared" si="1"/>
        <v>24</v>
      </c>
      <c r="K9" s="7" t="s">
        <v>532</v>
      </c>
      <c r="L9" s="7" t="s">
        <v>7</v>
      </c>
      <c r="M9" s="7"/>
      <c r="N9" s="7" t="s">
        <v>7</v>
      </c>
      <c r="O9" s="7" t="s">
        <v>7</v>
      </c>
      <c r="P9" s="7"/>
      <c r="Q9" s="7" t="s">
        <v>7</v>
      </c>
      <c r="R9" s="4" t="s">
        <v>7</v>
      </c>
    </row>
    <row r="10" spans="1:18" s="4" customFormat="1" ht="57" hidden="1" customHeight="1" x14ac:dyDescent="0.25">
      <c r="A10" s="3" t="s">
        <v>7</v>
      </c>
      <c r="B10" s="13" t="s">
        <v>354</v>
      </c>
      <c r="C10" s="7" t="s">
        <v>8</v>
      </c>
      <c r="D10" s="7" t="s">
        <v>129</v>
      </c>
      <c r="E10" s="7" t="str">
        <f>E9</f>
        <v>AL6061 anode đen</v>
      </c>
      <c r="F10" s="7" t="s">
        <v>7</v>
      </c>
      <c r="G10" s="7" t="s">
        <v>130</v>
      </c>
      <c r="H10" s="7" t="str">
        <f>H9</f>
        <v>GTAM</v>
      </c>
      <c r="I10" s="7">
        <f t="shared" si="0"/>
        <v>2</v>
      </c>
      <c r="J10" s="7">
        <f t="shared" si="1"/>
        <v>12</v>
      </c>
      <c r="K10" s="7" t="s">
        <v>536</v>
      </c>
      <c r="L10" s="7" t="s">
        <v>7</v>
      </c>
      <c r="M10" s="7"/>
      <c r="N10" s="7" t="s">
        <v>7</v>
      </c>
      <c r="O10" s="7" t="s">
        <v>7</v>
      </c>
      <c r="P10" s="7"/>
      <c r="Q10" s="7" t="s">
        <v>7</v>
      </c>
      <c r="R10" s="4" t="s">
        <v>7</v>
      </c>
    </row>
    <row r="11" spans="1:18" s="4" customFormat="1" ht="57" hidden="1" customHeight="1" x14ac:dyDescent="0.25">
      <c r="A11" s="3" t="s">
        <v>7</v>
      </c>
      <c r="B11" s="13" t="s">
        <v>355</v>
      </c>
      <c r="C11" s="7" t="s">
        <v>8</v>
      </c>
      <c r="D11" s="7" t="s">
        <v>131</v>
      </c>
      <c r="E11" s="7" t="str">
        <f>VLOOKUP(G11,'Z0000002-508684 BOM triển k hai'!$G$3:$R$42,12,0)</f>
        <v>PB108</v>
      </c>
      <c r="F11" s="7" t="s">
        <v>7</v>
      </c>
      <c r="G11" s="7" t="s">
        <v>23</v>
      </c>
      <c r="H11" s="7" t="str">
        <f>VLOOKUP(G11,'Z0000002-508684 BOM triển k hai'!$G$3:$H$42,2,0)</f>
        <v>GTAM</v>
      </c>
      <c r="I11" s="7">
        <f t="shared" si="0"/>
        <v>2</v>
      </c>
      <c r="J11" s="7">
        <f t="shared" si="1"/>
        <v>12</v>
      </c>
      <c r="K11" s="7" t="s">
        <v>531</v>
      </c>
      <c r="L11" s="7" t="s">
        <v>7</v>
      </c>
      <c r="M11" s="7"/>
      <c r="N11" s="7" t="s">
        <v>7</v>
      </c>
      <c r="O11" s="7" t="s">
        <v>7</v>
      </c>
      <c r="P11" s="7"/>
      <c r="Q11" s="7" t="s">
        <v>7</v>
      </c>
      <c r="R11" s="4" t="s">
        <v>7</v>
      </c>
    </row>
    <row r="12" spans="1:18" s="4" customFormat="1" ht="57" hidden="1" customHeight="1" x14ac:dyDescent="0.25">
      <c r="A12" s="3" t="s">
        <v>7</v>
      </c>
      <c r="B12" s="13" t="s">
        <v>356</v>
      </c>
      <c r="C12" s="7" t="s">
        <v>8</v>
      </c>
      <c r="D12" s="7" t="s">
        <v>132</v>
      </c>
      <c r="E12" s="7" t="str">
        <f>VLOOKUP(G12,'Z0000002-508684 BOM triển k hai'!$G$3:$R$42,12,0)</f>
        <v>PB108</v>
      </c>
      <c r="F12" s="7" t="s">
        <v>7</v>
      </c>
      <c r="G12" s="7" t="s">
        <v>23</v>
      </c>
      <c r="H12" s="7" t="str">
        <f>VLOOKUP(G12,'Z0000002-508684 BOM triển k hai'!$G$3:$H$42,2,0)</f>
        <v>GTAM</v>
      </c>
      <c r="I12" s="7">
        <f t="shared" si="0"/>
        <v>2</v>
      </c>
      <c r="J12" s="7">
        <f t="shared" si="1"/>
        <v>12</v>
      </c>
      <c r="K12" s="7" t="s">
        <v>531</v>
      </c>
      <c r="L12" s="7" t="s">
        <v>7</v>
      </c>
      <c r="M12" s="7"/>
      <c r="N12" s="7" t="s">
        <v>7</v>
      </c>
      <c r="O12" s="7" t="s">
        <v>7</v>
      </c>
      <c r="P12" s="7"/>
      <c r="Q12" s="7" t="s">
        <v>7</v>
      </c>
      <c r="R12" s="4" t="s">
        <v>7</v>
      </c>
    </row>
    <row r="13" spans="1:18" s="4" customFormat="1" ht="57" hidden="1" customHeight="1" x14ac:dyDescent="0.25">
      <c r="A13" s="3" t="s">
        <v>7</v>
      </c>
      <c r="B13" s="13" t="s">
        <v>357</v>
      </c>
      <c r="C13" s="7" t="s">
        <v>13</v>
      </c>
      <c r="D13" s="7" t="s">
        <v>25</v>
      </c>
      <c r="E13" s="7" t="str">
        <f>VLOOKUP(G13,'Z0000002-508684 BOM triển k hai'!$G$3:$R$42,12,0)</f>
        <v>PB108</v>
      </c>
      <c r="F13" s="7" t="s">
        <v>7</v>
      </c>
      <c r="G13" s="7" t="s">
        <v>26</v>
      </c>
      <c r="H13" s="7" t="str">
        <f>VLOOKUP(G13,'Z0000002-508684 BOM triển k hai'!$G$3:$H$42,2,0)</f>
        <v>GTAM</v>
      </c>
      <c r="I13" s="7">
        <f t="shared" si="0"/>
        <v>4</v>
      </c>
      <c r="J13" s="7">
        <f t="shared" si="1"/>
        <v>24</v>
      </c>
      <c r="K13" s="7" t="s">
        <v>532</v>
      </c>
      <c r="L13" s="7" t="s">
        <v>7</v>
      </c>
      <c r="M13" s="7"/>
      <c r="N13" s="7" t="s">
        <v>7</v>
      </c>
      <c r="O13" s="7" t="s">
        <v>7</v>
      </c>
      <c r="P13" s="7"/>
      <c r="Q13" s="7" t="s">
        <v>7</v>
      </c>
      <c r="R13" s="4" t="s">
        <v>7</v>
      </c>
    </row>
    <row r="14" spans="1:18" s="4" customFormat="1" ht="57" hidden="1" customHeight="1" x14ac:dyDescent="0.25">
      <c r="A14" s="3" t="s">
        <v>7</v>
      </c>
      <c r="B14" s="13" t="s">
        <v>358</v>
      </c>
      <c r="C14" s="7" t="s">
        <v>13</v>
      </c>
      <c r="D14" s="7" t="s">
        <v>100</v>
      </c>
      <c r="E14" s="7" t="str">
        <f>VLOOKUP(G14,'Z0000002-508684 BOM triển k hai'!$G$3:$R$42,12,0)</f>
        <v>belt PU đen, chống tĩnh điện, ép viền chống xước, dày 1.5mm, bản rộng 20mm, chu vi 890mm( đo mép trong 895mm, chốt cân chỉnh đang ở giữa )</v>
      </c>
      <c r="F14" s="7" t="s">
        <v>7</v>
      </c>
      <c r="G14" s="7" t="s">
        <v>28</v>
      </c>
      <c r="H14" s="7" t="str">
        <f>VLOOKUP(G14,'Z0000002-508684 BOM triển k hai'!$G$3:$H$42,2,0)</f>
        <v>Belt</v>
      </c>
      <c r="I14" s="7">
        <f t="shared" si="0"/>
        <v>4</v>
      </c>
      <c r="J14" s="7">
        <f t="shared" si="1"/>
        <v>24</v>
      </c>
      <c r="K14" s="7" t="s">
        <v>7</v>
      </c>
      <c r="L14" s="7" t="s">
        <v>7</v>
      </c>
      <c r="M14" s="7"/>
      <c r="N14" s="7" t="s">
        <v>7</v>
      </c>
      <c r="O14" s="7" t="s">
        <v>7</v>
      </c>
      <c r="P14" s="7"/>
      <c r="Q14" s="7" t="s">
        <v>7</v>
      </c>
      <c r="R14" s="4" t="s">
        <v>7</v>
      </c>
    </row>
    <row r="15" spans="1:18" s="4" customFormat="1" ht="57" hidden="1" customHeight="1" x14ac:dyDescent="0.25">
      <c r="A15" s="3" t="s">
        <v>7</v>
      </c>
      <c r="B15" s="13" t="s">
        <v>359</v>
      </c>
      <c r="C15" s="7" t="s">
        <v>8</v>
      </c>
      <c r="D15" s="7" t="s">
        <v>133</v>
      </c>
      <c r="E15" s="7" t="str">
        <f>VLOOKUP(G15,'Z0000002-508684 BOM triển k hai'!$G$3:$R$42,12,0)</f>
        <v>AL6061 anode đen</v>
      </c>
      <c r="F15" s="7" t="s">
        <v>7</v>
      </c>
      <c r="G15" s="7" t="s">
        <v>30</v>
      </c>
      <c r="H15" s="7" t="str">
        <f>VLOOKUP(G15,'Z0000002-508684 BOM triển k hai'!$G$3:$H$42,2,0)</f>
        <v>GTAM</v>
      </c>
      <c r="I15" s="7">
        <f t="shared" si="0"/>
        <v>2</v>
      </c>
      <c r="J15" s="7">
        <f t="shared" si="1"/>
        <v>12</v>
      </c>
      <c r="K15" s="7" t="s">
        <v>536</v>
      </c>
      <c r="L15" s="7" t="s">
        <v>7</v>
      </c>
      <c r="M15" s="7"/>
      <c r="N15" s="7" t="s">
        <v>7</v>
      </c>
      <c r="O15" s="7" t="s">
        <v>7</v>
      </c>
      <c r="P15" s="7"/>
      <c r="Q15" s="7" t="s">
        <v>7</v>
      </c>
      <c r="R15" s="4" t="s">
        <v>7</v>
      </c>
    </row>
    <row r="16" spans="1:18" s="4" customFormat="1" ht="57" hidden="1" customHeight="1" x14ac:dyDescent="0.25">
      <c r="A16" s="3" t="s">
        <v>7</v>
      </c>
      <c r="B16" s="13" t="s">
        <v>360</v>
      </c>
      <c r="C16" s="7" t="s">
        <v>8</v>
      </c>
      <c r="D16" s="7" t="s">
        <v>134</v>
      </c>
      <c r="E16" s="7" t="str">
        <f>VLOOKUP(G16,'Z0000002-508684 BOM triển k hai'!$G$3:$R$42,12,0)</f>
        <v>AL6061 anode đen</v>
      </c>
      <c r="F16" s="7" t="s">
        <v>7</v>
      </c>
      <c r="G16" s="7" t="s">
        <v>30</v>
      </c>
      <c r="H16" s="7" t="str">
        <f>VLOOKUP(G16,'Z0000002-508684 BOM triển k hai'!$G$3:$H$42,2,0)</f>
        <v>GTAM</v>
      </c>
      <c r="I16" s="7">
        <f t="shared" si="0"/>
        <v>2</v>
      </c>
      <c r="J16" s="7">
        <f t="shared" si="1"/>
        <v>12</v>
      </c>
      <c r="K16" s="7" t="s">
        <v>536</v>
      </c>
      <c r="L16" s="7" t="s">
        <v>7</v>
      </c>
      <c r="M16" s="7"/>
      <c r="N16" s="7" t="s">
        <v>7</v>
      </c>
      <c r="O16" s="7" t="s">
        <v>7</v>
      </c>
      <c r="P16" s="7"/>
      <c r="Q16" s="7" t="s">
        <v>7</v>
      </c>
      <c r="R16" s="4" t="s">
        <v>7</v>
      </c>
    </row>
    <row r="17" spans="1:18" s="4" customFormat="1" ht="57" hidden="1" customHeight="1" x14ac:dyDescent="0.25">
      <c r="A17" s="3" t="s">
        <v>7</v>
      </c>
      <c r="B17" s="13" t="s">
        <v>361</v>
      </c>
      <c r="C17" s="7" t="s">
        <v>8</v>
      </c>
      <c r="D17" s="7" t="s">
        <v>135</v>
      </c>
      <c r="E17" s="7" t="e">
        <f>VLOOKUP(G17,'Z0000002-508684 BOM triển k hai'!$G$3:$R$42,12,0)</f>
        <v>#N/A</v>
      </c>
      <c r="F17" s="7" t="s">
        <v>7</v>
      </c>
      <c r="G17" s="7" t="s">
        <v>107</v>
      </c>
      <c r="H17" s="7" t="str">
        <f>H16</f>
        <v>GTAM</v>
      </c>
      <c r="I17" s="7">
        <f t="shared" si="0"/>
        <v>2</v>
      </c>
      <c r="J17" s="7">
        <f t="shared" si="1"/>
        <v>12</v>
      </c>
      <c r="K17" s="7" t="s">
        <v>536</v>
      </c>
      <c r="L17" s="7" t="s">
        <v>7</v>
      </c>
      <c r="M17" s="7"/>
      <c r="N17" s="7" t="s">
        <v>7</v>
      </c>
      <c r="O17" s="7" t="s">
        <v>7</v>
      </c>
      <c r="P17" s="7"/>
      <c r="Q17" s="7" t="s">
        <v>7</v>
      </c>
      <c r="R17" s="4" t="s">
        <v>7</v>
      </c>
    </row>
    <row r="18" spans="1:18" s="4" customFormat="1" ht="57" hidden="1" customHeight="1" x14ac:dyDescent="0.25">
      <c r="A18" s="3" t="s">
        <v>7</v>
      </c>
      <c r="B18" s="13" t="s">
        <v>362</v>
      </c>
      <c r="C18" s="7" t="s">
        <v>8</v>
      </c>
      <c r="D18" s="7" t="s">
        <v>136</v>
      </c>
      <c r="E18" s="7" t="str">
        <f>VLOOKUP(G18,'Z0000002-508684 BOM triển k hai'!$G$3:$R$42,12,0)</f>
        <v>AL6061 anode đen</v>
      </c>
      <c r="F18" s="7" t="s">
        <v>7</v>
      </c>
      <c r="G18" s="7" t="s">
        <v>33</v>
      </c>
      <c r="H18" s="7" t="str">
        <f>VLOOKUP(G18,'Z0000002-508684 BOM triển k hai'!$G$3:$H$42,2,0)</f>
        <v>GTAM</v>
      </c>
      <c r="I18" s="7">
        <f t="shared" si="0"/>
        <v>2</v>
      </c>
      <c r="J18" s="7">
        <f t="shared" si="1"/>
        <v>12</v>
      </c>
      <c r="K18" s="7" t="s">
        <v>536</v>
      </c>
      <c r="L18" s="7" t="s">
        <v>7</v>
      </c>
      <c r="M18" s="7"/>
      <c r="N18" s="7" t="s">
        <v>7</v>
      </c>
      <c r="O18" s="7" t="s">
        <v>7</v>
      </c>
      <c r="P18" s="7"/>
      <c r="Q18" s="7" t="s">
        <v>7</v>
      </c>
      <c r="R18" s="4" t="s">
        <v>7</v>
      </c>
    </row>
    <row r="19" spans="1:18" s="4" customFormat="1" ht="57" hidden="1" customHeight="1" x14ac:dyDescent="0.25">
      <c r="A19" s="3" t="s">
        <v>7</v>
      </c>
      <c r="B19" s="13" t="s">
        <v>363</v>
      </c>
      <c r="C19" s="7" t="s">
        <v>8</v>
      </c>
      <c r="D19" s="7" t="s">
        <v>20</v>
      </c>
      <c r="E19" s="7" t="str">
        <f>VLOOKUP(G19,'Z0000002-508684 BOM triển k hai'!$G$3:$R$42,12,0)</f>
        <v>HTPA18S5M100-A-N8-FC30.0 đổi sang HTPA18S5M150-A-N8-FC30.0</v>
      </c>
      <c r="F19" s="7" t="s">
        <v>7</v>
      </c>
      <c r="G19" s="7" t="s">
        <v>21</v>
      </c>
      <c r="H19" s="7" t="str">
        <f>VLOOKUP(G19,'Z0000002-508684 BOM triển k hai'!$G$3:$H$42,2,0)</f>
        <v>UP</v>
      </c>
      <c r="I19" s="7">
        <f t="shared" si="0"/>
        <v>2</v>
      </c>
      <c r="J19" s="7">
        <f t="shared" si="1"/>
        <v>12</v>
      </c>
      <c r="K19" s="7" t="s">
        <v>7</v>
      </c>
      <c r="L19" s="7" t="s">
        <v>7</v>
      </c>
      <c r="M19" s="7"/>
      <c r="N19" s="7" t="s">
        <v>7</v>
      </c>
      <c r="O19" s="7" t="s">
        <v>7</v>
      </c>
      <c r="P19" s="7"/>
      <c r="Q19" s="7" t="s">
        <v>7</v>
      </c>
      <c r="R19" s="4" t="s">
        <v>7</v>
      </c>
    </row>
    <row r="20" spans="1:18" s="4" customFormat="1" ht="57" hidden="1" customHeight="1" x14ac:dyDescent="0.25">
      <c r="A20" s="3" t="s">
        <v>7</v>
      </c>
      <c r="B20" s="13" t="s">
        <v>364</v>
      </c>
      <c r="C20" s="7" t="s">
        <v>8</v>
      </c>
      <c r="D20" s="7" t="s">
        <v>36</v>
      </c>
      <c r="E20" s="7" t="str">
        <f>VLOOKUP(G20,'Z0000002-508684 BOM triển k hai'!$G$3:$R$42,12,0)</f>
        <v>AL6061 anode đen</v>
      </c>
      <c r="F20" s="7" t="s">
        <v>7</v>
      </c>
      <c r="G20" s="7" t="s">
        <v>37</v>
      </c>
      <c r="H20" s="7" t="str">
        <f>VLOOKUP(G20,'Z0000002-508684 BOM triển k hai'!$G$3:$H$42,2,0)</f>
        <v>GTAM</v>
      </c>
      <c r="I20" s="7">
        <f t="shared" si="0"/>
        <v>2</v>
      </c>
      <c r="J20" s="7">
        <f t="shared" si="1"/>
        <v>12</v>
      </c>
      <c r="K20" s="7" t="s">
        <v>536</v>
      </c>
      <c r="L20" s="7" t="s">
        <v>7</v>
      </c>
      <c r="M20" s="7"/>
      <c r="N20" s="7" t="s">
        <v>7</v>
      </c>
      <c r="O20" s="7" t="s">
        <v>7</v>
      </c>
      <c r="P20" s="7"/>
      <c r="Q20" s="7" t="s">
        <v>7</v>
      </c>
      <c r="R20" s="4" t="s">
        <v>7</v>
      </c>
    </row>
    <row r="21" spans="1:18" s="4" customFormat="1" ht="57" hidden="1" customHeight="1" x14ac:dyDescent="0.25">
      <c r="A21" s="3" t="s">
        <v>7</v>
      </c>
      <c r="B21" s="13" t="s">
        <v>365</v>
      </c>
      <c r="C21" s="7" t="s">
        <v>8</v>
      </c>
      <c r="D21" s="7" t="s">
        <v>44</v>
      </c>
      <c r="E21" s="7" t="str">
        <f>VLOOKUP(G21,'Z0000002-508684 BOM triển k hai'!$G$3:$R$42,12,0)</f>
        <v>AL6061 anode đen</v>
      </c>
      <c r="F21" s="7" t="s">
        <v>7</v>
      </c>
      <c r="G21" s="7" t="s">
        <v>45</v>
      </c>
      <c r="H21" s="7" t="str">
        <f>VLOOKUP(G21,'Z0000002-508684 BOM triển k hai'!$G$3:$H$42,2,0)</f>
        <v>GTAM</v>
      </c>
      <c r="I21" s="7">
        <f t="shared" si="0"/>
        <v>2</v>
      </c>
      <c r="J21" s="7">
        <f t="shared" si="1"/>
        <v>12</v>
      </c>
      <c r="K21" s="7" t="s">
        <v>536</v>
      </c>
      <c r="L21" s="7" t="s">
        <v>7</v>
      </c>
      <c r="M21" s="7"/>
      <c r="N21" s="7" t="s">
        <v>7</v>
      </c>
      <c r="O21" s="7" t="s">
        <v>7</v>
      </c>
      <c r="P21" s="7"/>
      <c r="Q21" s="7" t="s">
        <v>7</v>
      </c>
      <c r="R21" s="4" t="s">
        <v>7</v>
      </c>
    </row>
    <row r="22" spans="1:18" s="4" customFormat="1" ht="57" hidden="1" customHeight="1" x14ac:dyDescent="0.25">
      <c r="A22" s="3" t="s">
        <v>7</v>
      </c>
      <c r="B22" s="13" t="s">
        <v>366</v>
      </c>
      <c r="C22" s="7" t="s">
        <v>8</v>
      </c>
      <c r="D22" s="7" t="s">
        <v>46</v>
      </c>
      <c r="E22" s="7" t="str">
        <f>VLOOKUP(G22,'Z0000002-508684 BOM triển k hai'!$G$3:$R$42,12,0)</f>
        <v>AL6061 anode đen</v>
      </c>
      <c r="F22" s="7" t="s">
        <v>7</v>
      </c>
      <c r="G22" s="7" t="s">
        <v>47</v>
      </c>
      <c r="H22" s="7" t="str">
        <f>VLOOKUP(G22,'Z0000002-508684 BOM triển k hai'!$G$3:$H$42,2,0)</f>
        <v>GTAM</v>
      </c>
      <c r="I22" s="7">
        <f t="shared" si="0"/>
        <v>2</v>
      </c>
      <c r="J22" s="7">
        <f t="shared" si="1"/>
        <v>12</v>
      </c>
      <c r="K22" s="7" t="s">
        <v>7</v>
      </c>
      <c r="L22" s="7" t="s">
        <v>7</v>
      </c>
      <c r="M22" s="7"/>
      <c r="N22" s="7" t="s">
        <v>7</v>
      </c>
      <c r="O22" s="7" t="s">
        <v>7</v>
      </c>
      <c r="P22" s="7"/>
      <c r="Q22" s="7" t="s">
        <v>7</v>
      </c>
      <c r="R22" s="4" t="s">
        <v>7</v>
      </c>
    </row>
    <row r="23" spans="1:18" s="4" customFormat="1" ht="57" hidden="1" customHeight="1" x14ac:dyDescent="0.25">
      <c r="A23" s="3" t="s">
        <v>7</v>
      </c>
      <c r="B23" s="13" t="s">
        <v>367</v>
      </c>
      <c r="C23" s="7" t="s">
        <v>8</v>
      </c>
      <c r="D23" s="7" t="s">
        <v>48</v>
      </c>
      <c r="E23" s="7" t="str">
        <f>VLOOKUP(G23,'Z0000002-508684 BOM triển k hai'!$G$3:$R$42,12,0)</f>
        <v>AL6061 anode đen</v>
      </c>
      <c r="F23" s="7" t="s">
        <v>7</v>
      </c>
      <c r="G23" s="7" t="s">
        <v>37</v>
      </c>
      <c r="H23" s="7" t="str">
        <f>VLOOKUP(G23,'Z0000002-508684 BOM triển k hai'!$G$3:$H$42,2,0)</f>
        <v>GTAM</v>
      </c>
      <c r="I23" s="7">
        <f t="shared" si="0"/>
        <v>2</v>
      </c>
      <c r="J23" s="7">
        <f t="shared" si="1"/>
        <v>12</v>
      </c>
      <c r="K23" s="7" t="s">
        <v>532</v>
      </c>
      <c r="L23" s="7" t="s">
        <v>7</v>
      </c>
      <c r="M23" s="7"/>
      <c r="N23" s="7" t="s">
        <v>7</v>
      </c>
      <c r="O23" s="7" t="s">
        <v>7</v>
      </c>
      <c r="P23" s="7"/>
      <c r="Q23" s="7" t="s">
        <v>7</v>
      </c>
      <c r="R23" s="4" t="s">
        <v>7</v>
      </c>
    </row>
    <row r="24" spans="1:18" s="4" customFormat="1" ht="57" customHeight="1" x14ac:dyDescent="0.25">
      <c r="A24" s="3" t="s">
        <v>7</v>
      </c>
      <c r="B24" s="13" t="s">
        <v>368</v>
      </c>
      <c r="C24" s="7" t="s">
        <v>8</v>
      </c>
      <c r="D24" s="7" t="s">
        <v>38</v>
      </c>
      <c r="E24" s="7" t="str">
        <f>VLOOKUP(G24,'Z0000002-508684 BOM triển k hai'!$G$3:$R$42,12,0)</f>
        <v>S6I06GX-12CE và bộ đk tốc độ SUA06IX-V12</v>
      </c>
      <c r="F24" s="7" t="s">
        <v>7</v>
      </c>
      <c r="G24" s="7" t="s">
        <v>39</v>
      </c>
      <c r="H24" s="7" t="str">
        <f>VLOOKUP(G24,'Z0000002-508684 BOM triển k hai'!$G$3:$H$42,2,0)</f>
        <v>SPG</v>
      </c>
      <c r="I24" s="7">
        <f t="shared" si="0"/>
        <v>2</v>
      </c>
      <c r="J24" s="7">
        <f t="shared" si="1"/>
        <v>12</v>
      </c>
      <c r="K24" s="7" t="str">
        <f>'Z0000002-508701 BOM triển k hai'!K21</f>
        <v>NG báo đã nhận 27 set, đủ lô 7CV</v>
      </c>
      <c r="L24" s="7" t="s">
        <v>7</v>
      </c>
      <c r="M24" s="7"/>
      <c r="N24" s="7" t="s">
        <v>7</v>
      </c>
      <c r="O24" s="7" t="s">
        <v>7</v>
      </c>
      <c r="P24" s="7"/>
      <c r="Q24" s="7" t="s">
        <v>7</v>
      </c>
      <c r="R24" s="4" t="s">
        <v>7</v>
      </c>
    </row>
    <row r="25" spans="1:18" s="4" customFormat="1" ht="57" customHeight="1" x14ac:dyDescent="0.25">
      <c r="A25" s="3" t="s">
        <v>7</v>
      </c>
      <c r="B25" s="13" t="s">
        <v>369</v>
      </c>
      <c r="C25" s="7" t="s">
        <v>8</v>
      </c>
      <c r="D25" s="7" t="s">
        <v>40</v>
      </c>
      <c r="E25" s="7" t="str">
        <f>VLOOKUP(G25,'Z0000002-508684 BOM triển k hai'!$G$3:$R$42,12,0)</f>
        <v>hộp số S6KA15B</v>
      </c>
      <c r="F25" s="7" t="s">
        <v>7</v>
      </c>
      <c r="G25" s="7" t="s">
        <v>41</v>
      </c>
      <c r="H25" s="7" t="str">
        <f>VLOOKUP(G25,'Z0000002-508684 BOM triển k hai'!$G$3:$H$42,2,0)</f>
        <v>SPG</v>
      </c>
      <c r="I25" s="7">
        <f t="shared" si="0"/>
        <v>2</v>
      </c>
      <c r="J25" s="7">
        <f t="shared" si="1"/>
        <v>12</v>
      </c>
      <c r="K25" s="7" t="str">
        <f>K24</f>
        <v>NG báo đã nhận 27 set, đủ lô 7CV</v>
      </c>
      <c r="L25" s="7" t="s">
        <v>7</v>
      </c>
      <c r="M25" s="7"/>
      <c r="N25" s="7" t="s">
        <v>7</v>
      </c>
      <c r="O25" s="7" t="s">
        <v>7</v>
      </c>
      <c r="P25" s="7"/>
      <c r="Q25" s="7" t="s">
        <v>7</v>
      </c>
      <c r="R25" s="4" t="s">
        <v>7</v>
      </c>
    </row>
    <row r="26" spans="1:18" s="4" customFormat="1" ht="57" hidden="1" customHeight="1" x14ac:dyDescent="0.25">
      <c r="A26" s="3" t="s">
        <v>7</v>
      </c>
      <c r="B26" s="13" t="s">
        <v>370</v>
      </c>
      <c r="C26" s="7" t="s">
        <v>8</v>
      </c>
      <c r="D26" s="7" t="s">
        <v>42</v>
      </c>
      <c r="E26" s="7" t="str">
        <f>VLOOKUP(G26,'Z0000002-508684 BOM triển k hai'!$G$3:$R$42,12,0)</f>
        <v>Chốt cài KES-12</v>
      </c>
      <c r="F26" s="7" t="s">
        <v>7</v>
      </c>
      <c r="G26" s="7" t="s">
        <v>43</v>
      </c>
      <c r="H26" s="7" t="str">
        <f>VLOOKUP(G26,'Z0000002-508684 BOM triển k hai'!$G$3:$H$42,2,0)</f>
        <v>Chốt cài</v>
      </c>
      <c r="I26" s="7">
        <f t="shared" si="0"/>
        <v>2</v>
      </c>
      <c r="J26" s="7">
        <f t="shared" si="1"/>
        <v>12</v>
      </c>
      <c r="K26" s="7" t="s">
        <v>7</v>
      </c>
      <c r="L26" s="7" t="s">
        <v>7</v>
      </c>
      <c r="M26" s="7"/>
      <c r="N26" s="7" t="s">
        <v>7</v>
      </c>
      <c r="O26" s="7" t="s">
        <v>7</v>
      </c>
      <c r="P26" s="7"/>
      <c r="Q26" s="7" t="s">
        <v>7</v>
      </c>
      <c r="R26" s="4" t="s">
        <v>7</v>
      </c>
    </row>
    <row r="27" spans="1:18" s="4" customFormat="1" ht="57" hidden="1" customHeight="1" x14ac:dyDescent="0.25">
      <c r="A27" s="3" t="s">
        <v>7</v>
      </c>
      <c r="B27" s="13" t="s">
        <v>371</v>
      </c>
      <c r="C27" s="7" t="s">
        <v>49</v>
      </c>
      <c r="D27" s="7" t="s">
        <v>50</v>
      </c>
      <c r="E27" s="7" t="str">
        <f>VLOOKUP(G27,'Z0000002-508684 BOM triển k hai'!$G$3:$R$42,12,0)</f>
        <v>Rulo</v>
      </c>
      <c r="F27" s="7" t="s">
        <v>7</v>
      </c>
      <c r="G27" s="7" t="s">
        <v>51</v>
      </c>
      <c r="H27" s="7" t="str">
        <f>VLOOKUP(G27,'Z0000002-508684 BOM triển k hai'!$G$3:$H$42,2,0)</f>
        <v>TT</v>
      </c>
      <c r="I27" s="7">
        <f t="shared" si="0"/>
        <v>8</v>
      </c>
      <c r="J27" s="7">
        <f t="shared" si="1"/>
        <v>48</v>
      </c>
      <c r="K27" s="7" t="s">
        <v>7</v>
      </c>
      <c r="L27" s="7" t="s">
        <v>7</v>
      </c>
      <c r="M27" s="7"/>
      <c r="N27" s="7" t="s">
        <v>7</v>
      </c>
      <c r="O27" s="7" t="s">
        <v>7</v>
      </c>
      <c r="P27" s="7"/>
      <c r="Q27" s="7" t="s">
        <v>7</v>
      </c>
      <c r="R27" s="4" t="s">
        <v>7</v>
      </c>
    </row>
    <row r="28" spans="1:18" s="4" customFormat="1" ht="57" hidden="1" customHeight="1" x14ac:dyDescent="0.25">
      <c r="A28" s="3" t="s">
        <v>7</v>
      </c>
      <c r="B28" s="13" t="s">
        <v>372</v>
      </c>
      <c r="C28" s="7" t="s">
        <v>52</v>
      </c>
      <c r="D28" s="7" t="s">
        <v>53</v>
      </c>
      <c r="E28" s="7" t="str">
        <f>VLOOKUP(G28,'Z0000002-508684 BOM triển k hai'!$G$3:$R$42,12,0)</f>
        <v>Vòng bi SB688ZZ --&gt; đổi sang C-SE688ZZ</v>
      </c>
      <c r="F28" s="7" t="s">
        <v>7</v>
      </c>
      <c r="G28" s="7" t="s">
        <v>54</v>
      </c>
      <c r="H28" s="7" t="str">
        <f>VLOOKUP(G28,'Z0000002-508684 BOM triển k hai'!$G$3:$H$42,2,0)</f>
        <v>VB C-SE688ZZ</v>
      </c>
      <c r="I28" s="7">
        <f t="shared" si="0"/>
        <v>32</v>
      </c>
      <c r="J28" s="7">
        <f t="shared" si="1"/>
        <v>192</v>
      </c>
      <c r="K28" s="7" t="s">
        <v>7</v>
      </c>
      <c r="L28" s="7" t="s">
        <v>7</v>
      </c>
      <c r="M28" s="7"/>
      <c r="N28" s="7" t="s">
        <v>7</v>
      </c>
      <c r="O28" s="7" t="s">
        <v>7</v>
      </c>
      <c r="P28" s="7"/>
      <c r="Q28" s="7" t="s">
        <v>7</v>
      </c>
      <c r="R28" s="4" t="s">
        <v>7</v>
      </c>
    </row>
    <row r="29" spans="1:18" s="4" customFormat="1" ht="57" hidden="1" customHeight="1" x14ac:dyDescent="0.25">
      <c r="A29" s="3" t="s">
        <v>7</v>
      </c>
      <c r="B29" s="13" t="s">
        <v>373</v>
      </c>
      <c r="C29" s="7" t="s">
        <v>13</v>
      </c>
      <c r="D29" s="7" t="s">
        <v>55</v>
      </c>
      <c r="E29" s="7" t="str">
        <f>VLOOKUP(G29,'Z0000002-508684 BOM triển k hai'!$G$3:$R$42,12,0)</f>
        <v>SUS304, điện hóa</v>
      </c>
      <c r="F29" s="7" t="s">
        <v>7</v>
      </c>
      <c r="G29" s="7" t="s">
        <v>56</v>
      </c>
      <c r="H29" s="7" t="str">
        <f>VLOOKUP(G29,'Z0000002-508684 BOM triển k hai'!$G$3:$H$42,2,0)</f>
        <v>TT</v>
      </c>
      <c r="I29" s="7">
        <f t="shared" si="0"/>
        <v>4</v>
      </c>
      <c r="J29" s="7">
        <f t="shared" si="1"/>
        <v>24</v>
      </c>
      <c r="K29" s="7" t="s">
        <v>7</v>
      </c>
      <c r="L29" s="7" t="s">
        <v>7</v>
      </c>
      <c r="M29" s="7"/>
      <c r="N29" s="7" t="s">
        <v>7</v>
      </c>
      <c r="O29" s="7" t="s">
        <v>7</v>
      </c>
      <c r="P29" s="7"/>
      <c r="Q29" s="7" t="s">
        <v>7</v>
      </c>
      <c r="R29" s="4" t="s">
        <v>7</v>
      </c>
    </row>
    <row r="30" spans="1:18" s="4" customFormat="1" ht="57" hidden="1" customHeight="1" x14ac:dyDescent="0.25">
      <c r="A30" s="3" t="s">
        <v>7</v>
      </c>
      <c r="B30" s="13" t="s">
        <v>374</v>
      </c>
      <c r="C30" s="7" t="s">
        <v>57</v>
      </c>
      <c r="D30" s="7" t="s">
        <v>58</v>
      </c>
      <c r="E30" s="7" t="str">
        <f>VLOOKUP(G30,'Z0000002-508684 BOM triển k hai'!$G$3:$R$42,12,0)</f>
        <v>Phanh trục STWN8</v>
      </c>
      <c r="F30" s="7" t="s">
        <v>7</v>
      </c>
      <c r="G30" s="7" t="s">
        <v>59</v>
      </c>
      <c r="H30" s="7" t="str">
        <f>VLOOKUP(G30,'Z0000002-508684 BOM triển k hai'!$G$3:$H$42,2,0)</f>
        <v>Phanh trục</v>
      </c>
      <c r="I30" s="7">
        <f t="shared" si="0"/>
        <v>16</v>
      </c>
      <c r="J30" s="7">
        <f t="shared" si="1"/>
        <v>96</v>
      </c>
      <c r="K30" s="7" t="s">
        <v>7</v>
      </c>
      <c r="L30" s="7" t="s">
        <v>7</v>
      </c>
      <c r="M30" s="7"/>
      <c r="N30" s="7" t="s">
        <v>7</v>
      </c>
      <c r="O30" s="7" t="s">
        <v>7</v>
      </c>
      <c r="P30" s="7"/>
      <c r="Q30" s="7" t="s">
        <v>7</v>
      </c>
      <c r="R30" s="4" t="s">
        <v>7</v>
      </c>
    </row>
    <row r="31" spans="1:18" s="4" customFormat="1" ht="57" hidden="1" customHeight="1" x14ac:dyDescent="0.25">
      <c r="A31" s="3" t="s">
        <v>7</v>
      </c>
      <c r="B31" s="13" t="s">
        <v>375</v>
      </c>
      <c r="C31" s="7" t="s">
        <v>49</v>
      </c>
      <c r="D31" s="7" t="s">
        <v>60</v>
      </c>
      <c r="E31" s="7" t="str">
        <f>VLOOKUP(G31,'Z0000002-508684 BOM triển k hai'!$G$3:$R$42,12,0)</f>
        <v>Rulo</v>
      </c>
      <c r="F31" s="7" t="s">
        <v>7</v>
      </c>
      <c r="G31" s="7" t="s">
        <v>61</v>
      </c>
      <c r="H31" s="7" t="str">
        <f>VLOOKUP(G31,'Z0000002-508684 BOM triển k hai'!$G$3:$H$42,2,0)</f>
        <v>TT</v>
      </c>
      <c r="I31" s="7">
        <f t="shared" si="0"/>
        <v>8</v>
      </c>
      <c r="J31" s="7">
        <f t="shared" si="1"/>
        <v>48</v>
      </c>
      <c r="K31" s="7" t="s">
        <v>7</v>
      </c>
      <c r="L31" s="7" t="s">
        <v>7</v>
      </c>
      <c r="M31" s="7"/>
      <c r="N31" s="7" t="s">
        <v>7</v>
      </c>
      <c r="O31" s="7" t="s">
        <v>7</v>
      </c>
      <c r="P31" s="7"/>
      <c r="Q31" s="7" t="s">
        <v>7</v>
      </c>
      <c r="R31" s="4" t="s">
        <v>7</v>
      </c>
    </row>
    <row r="32" spans="1:18" s="4" customFormat="1" ht="57" hidden="1" customHeight="1" x14ac:dyDescent="0.25">
      <c r="A32" s="3" t="s">
        <v>7</v>
      </c>
      <c r="B32" s="13" t="s">
        <v>376</v>
      </c>
      <c r="C32" s="7" t="s">
        <v>49</v>
      </c>
      <c r="D32" s="7" t="s">
        <v>62</v>
      </c>
      <c r="E32" s="7" t="str">
        <f>VLOOKUP(G32,'Z0000002-508684 BOM triển k hai'!$G$3:$R$42,12,0)</f>
        <v>SUS304, điện hóa</v>
      </c>
      <c r="F32" s="7" t="s">
        <v>7</v>
      </c>
      <c r="G32" s="7" t="s">
        <v>63</v>
      </c>
      <c r="H32" s="7" t="str">
        <f>VLOOKUP(G32,'Z0000002-508684 BOM triển k hai'!$G$3:$H$42,2,0)</f>
        <v>TT</v>
      </c>
      <c r="I32" s="7">
        <f t="shared" si="0"/>
        <v>8</v>
      </c>
      <c r="J32" s="7">
        <f t="shared" si="1"/>
        <v>48</v>
      </c>
      <c r="K32" s="7" t="s">
        <v>7</v>
      </c>
      <c r="L32" s="7" t="s">
        <v>7</v>
      </c>
      <c r="M32" s="7"/>
      <c r="N32" s="7" t="s">
        <v>7</v>
      </c>
      <c r="O32" s="7" t="s">
        <v>7</v>
      </c>
      <c r="P32" s="7"/>
      <c r="Q32" s="7" t="s">
        <v>7</v>
      </c>
      <c r="R32" s="4" t="s">
        <v>7</v>
      </c>
    </row>
    <row r="33" spans="1:18" s="4" customFormat="1" ht="57" hidden="1" customHeight="1" x14ac:dyDescent="0.25">
      <c r="A33" s="3" t="s">
        <v>7</v>
      </c>
      <c r="B33" s="13" t="s">
        <v>377</v>
      </c>
      <c r="C33" s="7" t="s">
        <v>8</v>
      </c>
      <c r="D33" s="7" t="s">
        <v>64</v>
      </c>
      <c r="E33" s="7" t="str">
        <f>VLOOKUP(G33,'Z0000002-508684 BOM triển k hai'!$G$3:$R$42,12,0)</f>
        <v>Trục</v>
      </c>
      <c r="F33" s="7" t="s">
        <v>7</v>
      </c>
      <c r="G33" s="7" t="s">
        <v>65</v>
      </c>
      <c r="H33" s="7" t="str">
        <f>VLOOKUP(G33,'Z0000002-508684 BOM triển k hai'!$G$3:$H$42,2,0)</f>
        <v>TT</v>
      </c>
      <c r="I33" s="7">
        <f t="shared" si="0"/>
        <v>2</v>
      </c>
      <c r="J33" s="7">
        <f t="shared" si="1"/>
        <v>12</v>
      </c>
      <c r="K33" s="7" t="s">
        <v>7</v>
      </c>
      <c r="L33" s="7" t="s">
        <v>7</v>
      </c>
      <c r="M33" s="7"/>
      <c r="N33" s="7" t="s">
        <v>7</v>
      </c>
      <c r="O33" s="7" t="s">
        <v>7</v>
      </c>
      <c r="P33" s="7"/>
      <c r="Q33" s="7" t="s">
        <v>7</v>
      </c>
      <c r="R33" s="4" t="s">
        <v>7</v>
      </c>
    </row>
    <row r="34" spans="1:18" s="4" customFormat="1" ht="57" hidden="1" customHeight="1" x14ac:dyDescent="0.25">
      <c r="A34" s="3" t="s">
        <v>7</v>
      </c>
      <c r="B34" s="13" t="s">
        <v>378</v>
      </c>
      <c r="C34" s="7" t="s">
        <v>13</v>
      </c>
      <c r="D34" s="7" t="s">
        <v>66</v>
      </c>
      <c r="E34" s="7" t="str">
        <f>VLOOKUP(G34,'Z0000002-508684 BOM triển k hai'!$G$3:$R$42,12,0)</f>
        <v>Rulo</v>
      </c>
      <c r="F34" s="7" t="s">
        <v>7</v>
      </c>
      <c r="G34" s="7" t="s">
        <v>67</v>
      </c>
      <c r="H34" s="7" t="str">
        <f>VLOOKUP(G34,'Z0000002-508684 BOM triển k hai'!$G$3:$H$42,2,0)</f>
        <v>TT</v>
      </c>
      <c r="I34" s="7">
        <f t="shared" si="0"/>
        <v>4</v>
      </c>
      <c r="J34" s="7">
        <f t="shared" si="1"/>
        <v>24</v>
      </c>
      <c r="K34" s="7" t="s">
        <v>7</v>
      </c>
      <c r="L34" s="7" t="s">
        <v>7</v>
      </c>
      <c r="M34" s="7"/>
      <c r="N34" s="7" t="s">
        <v>7</v>
      </c>
      <c r="O34" s="7" t="s">
        <v>7</v>
      </c>
      <c r="P34" s="7"/>
      <c r="Q34" s="7" t="s">
        <v>7</v>
      </c>
      <c r="R34" s="4" t="s">
        <v>7</v>
      </c>
    </row>
    <row r="35" spans="1:18" s="4" customFormat="1" ht="57" hidden="1" customHeight="1" x14ac:dyDescent="0.25">
      <c r="A35" s="3" t="s">
        <v>7</v>
      </c>
      <c r="B35" s="13" t="s">
        <v>379</v>
      </c>
      <c r="C35" s="7" t="s">
        <v>13</v>
      </c>
      <c r="D35" s="7" t="s">
        <v>68</v>
      </c>
      <c r="E35" s="7" t="str">
        <f>VLOOKUP(G35,'Z0000002-508684 BOM triển k hai'!$G$3:$R$42,12,0)</f>
        <v>Vòng bi SB6000ZZ --&gt; đổi sang C-SE6000ZZ</v>
      </c>
      <c r="F35" s="7" t="s">
        <v>7</v>
      </c>
      <c r="G35" s="7" t="s">
        <v>69</v>
      </c>
      <c r="H35" s="7" t="str">
        <f>VLOOKUP(G35,'Z0000002-508684 BOM triển k hai'!$G$3:$H$42,2,0)</f>
        <v>VB C-SE6000ZZ</v>
      </c>
      <c r="I35" s="7">
        <f t="shared" si="0"/>
        <v>4</v>
      </c>
      <c r="J35" s="7">
        <f t="shared" si="1"/>
        <v>24</v>
      </c>
      <c r="K35" s="7" t="s">
        <v>7</v>
      </c>
      <c r="L35" s="7" t="s">
        <v>7</v>
      </c>
      <c r="M35" s="7"/>
      <c r="N35" s="7" t="s">
        <v>7</v>
      </c>
      <c r="O35" s="7" t="s">
        <v>7</v>
      </c>
      <c r="P35" s="7"/>
      <c r="Q35" s="7" t="s">
        <v>7</v>
      </c>
      <c r="R35" s="4" t="s">
        <v>7</v>
      </c>
    </row>
    <row r="36" spans="1:18" s="4" customFormat="1" ht="57" hidden="1" customHeight="1" x14ac:dyDescent="0.25">
      <c r="A36" s="3" t="s">
        <v>7</v>
      </c>
      <c r="B36" s="13" t="s">
        <v>380</v>
      </c>
      <c r="C36" s="7" t="s">
        <v>13</v>
      </c>
      <c r="D36" s="7" t="s">
        <v>70</v>
      </c>
      <c r="E36" s="7" t="str">
        <f>VLOOKUP(G36,'Z0000002-508684 BOM triển k hai'!$G$3:$R$42,12,0)</f>
        <v>phanh trục STWN10</v>
      </c>
      <c r="F36" s="7" t="s">
        <v>7</v>
      </c>
      <c r="G36" s="7" t="s">
        <v>71</v>
      </c>
      <c r="H36" s="7" t="str">
        <f>VLOOKUP(G36,'Z0000002-508684 BOM triển k hai'!$G$3:$H$42,2,0)</f>
        <v>Phanh trục</v>
      </c>
      <c r="I36" s="7">
        <f t="shared" si="0"/>
        <v>4</v>
      </c>
      <c r="J36" s="7">
        <f t="shared" si="1"/>
        <v>24</v>
      </c>
      <c r="K36" s="7" t="s">
        <v>7</v>
      </c>
      <c r="L36" s="7" t="s">
        <v>7</v>
      </c>
      <c r="M36" s="7"/>
      <c r="N36" s="7" t="s">
        <v>7</v>
      </c>
      <c r="O36" s="7" t="s">
        <v>7</v>
      </c>
      <c r="P36" s="7"/>
      <c r="Q36" s="7" t="s">
        <v>7</v>
      </c>
      <c r="R36" s="4" t="s">
        <v>7</v>
      </c>
    </row>
    <row r="37" spans="1:18" s="4" customFormat="1" ht="57" hidden="1" customHeight="1" x14ac:dyDescent="0.25">
      <c r="A37" s="3" t="s">
        <v>7</v>
      </c>
      <c r="B37" s="13" t="s">
        <v>381</v>
      </c>
      <c r="C37" s="7" t="s">
        <v>8</v>
      </c>
      <c r="D37" s="7" t="s">
        <v>72</v>
      </c>
      <c r="E37" s="7" t="str">
        <f>VLOOKUP(G37,'Z0000002-508684 BOM triển k hai'!$G$3:$R$42,12,0)</f>
        <v>HTPA18S5M100-B-N10-FC30.0 đổi sang HTPA18S5M150-B-N10-FC30.0</v>
      </c>
      <c r="F37" s="7" t="s">
        <v>7</v>
      </c>
      <c r="G37" s="7" t="s">
        <v>73</v>
      </c>
      <c r="H37" s="7" t="str">
        <f>VLOOKUP(G37,'Z0000002-508684 BOM triển k hai'!$G$3:$H$42,2,0)</f>
        <v>UP</v>
      </c>
      <c r="I37" s="7">
        <f t="shared" si="0"/>
        <v>2</v>
      </c>
      <c r="J37" s="7">
        <f t="shared" si="1"/>
        <v>12</v>
      </c>
      <c r="K37" s="7" t="s">
        <v>7</v>
      </c>
      <c r="L37" s="7" t="s">
        <v>7</v>
      </c>
      <c r="M37" s="7"/>
      <c r="N37" s="7" t="s">
        <v>7</v>
      </c>
      <c r="O37" s="7" t="s">
        <v>7</v>
      </c>
      <c r="P37" s="7"/>
      <c r="Q37" s="7" t="s">
        <v>7</v>
      </c>
      <c r="R37" s="4" t="s">
        <v>7</v>
      </c>
    </row>
    <row r="38" spans="1:18" s="4" customFormat="1" ht="57" hidden="1" customHeight="1" x14ac:dyDescent="0.25">
      <c r="A38" s="3" t="s">
        <v>7</v>
      </c>
      <c r="B38" s="13" t="s">
        <v>382</v>
      </c>
      <c r="C38" s="7" t="s">
        <v>74</v>
      </c>
      <c r="D38" s="7" t="s">
        <v>75</v>
      </c>
      <c r="E38" s="7" t="str">
        <f>VLOOKUP(G38,'Z0000002-508684 BOM triển k hai'!$G$3:$R$42,12,0)</f>
        <v>Chốt cài KES-15</v>
      </c>
      <c r="F38" s="7" t="s">
        <v>7</v>
      </c>
      <c r="G38" s="7" t="s">
        <v>76</v>
      </c>
      <c r="H38" s="7" t="str">
        <f>VLOOKUP(G38,'Z0000002-508684 BOM triển k hai'!$G$3:$H$42,2,0)</f>
        <v>Chốt cài</v>
      </c>
      <c r="I38" s="7">
        <f t="shared" si="0"/>
        <v>6</v>
      </c>
      <c r="J38" s="7">
        <f t="shared" si="1"/>
        <v>36</v>
      </c>
      <c r="K38" s="7" t="s">
        <v>7</v>
      </c>
      <c r="L38" s="7" t="s">
        <v>7</v>
      </c>
      <c r="M38" s="7"/>
      <c r="N38" s="7" t="s">
        <v>7</v>
      </c>
      <c r="O38" s="7" t="s">
        <v>7</v>
      </c>
      <c r="P38" s="7"/>
      <c r="Q38" s="7" t="s">
        <v>7</v>
      </c>
      <c r="R38" s="4" t="s">
        <v>7</v>
      </c>
    </row>
    <row r="39" spans="1:18" s="4" customFormat="1" ht="57" hidden="1" customHeight="1" x14ac:dyDescent="0.25">
      <c r="A39" s="3" t="s">
        <v>7</v>
      </c>
      <c r="B39" s="13" t="s">
        <v>383</v>
      </c>
      <c r="C39" s="7" t="s">
        <v>13</v>
      </c>
      <c r="D39" s="7" t="s">
        <v>77</v>
      </c>
      <c r="E39" s="7" t="str">
        <f>VLOOKUP(G39,'Z0000002-508684 BOM triển k hai'!$G$3:$R$42,12,0)</f>
        <v>SUS304, điện hóa</v>
      </c>
      <c r="F39" s="7" t="s">
        <v>7</v>
      </c>
      <c r="G39" s="7" t="s">
        <v>78</v>
      </c>
      <c r="H39" s="7" t="str">
        <f>VLOOKUP(G39,'Z0000002-508684 BOM triển k hai'!$G$3:$H$42,2,0)</f>
        <v>TT</v>
      </c>
      <c r="I39" s="7">
        <f t="shared" si="0"/>
        <v>4</v>
      </c>
      <c r="J39" s="7">
        <f t="shared" si="1"/>
        <v>24</v>
      </c>
      <c r="K39" s="7" t="s">
        <v>7</v>
      </c>
      <c r="L39" s="7" t="s">
        <v>7</v>
      </c>
      <c r="M39" s="7"/>
      <c r="N39" s="7" t="s">
        <v>7</v>
      </c>
      <c r="O39" s="7" t="s">
        <v>7</v>
      </c>
      <c r="P39" s="7"/>
      <c r="Q39" s="7" t="s">
        <v>7</v>
      </c>
      <c r="R39" s="4" t="s">
        <v>7</v>
      </c>
    </row>
    <row r="40" spans="1:18" s="4" customFormat="1" ht="57" hidden="1" customHeight="1" x14ac:dyDescent="0.25">
      <c r="A40" s="3" t="s">
        <v>7</v>
      </c>
      <c r="B40" s="13" t="s">
        <v>384</v>
      </c>
      <c r="C40" s="7" t="s">
        <v>13</v>
      </c>
      <c r="D40" s="7" t="s">
        <v>79</v>
      </c>
      <c r="E40" s="7" t="str">
        <f>VLOOKUP(G40,'Z0000002-508684 BOM triển k hai'!$G$3:$R$42,12,0)</f>
        <v>AL6061 anode đen</v>
      </c>
      <c r="F40" s="7" t="s">
        <v>7</v>
      </c>
      <c r="G40" s="7" t="s">
        <v>37</v>
      </c>
      <c r="H40" s="7" t="str">
        <f>VLOOKUP(G40,'Z0000002-508684 BOM triển k hai'!$G$3:$H$42,2,0)</f>
        <v>GTAM</v>
      </c>
      <c r="I40" s="7">
        <f t="shared" si="0"/>
        <v>4</v>
      </c>
      <c r="J40" s="7">
        <f t="shared" si="1"/>
        <v>24</v>
      </c>
      <c r="K40" s="7" t="s">
        <v>536</v>
      </c>
      <c r="L40" s="7" t="s">
        <v>7</v>
      </c>
      <c r="M40" s="7"/>
      <c r="N40" s="7" t="s">
        <v>7</v>
      </c>
      <c r="O40" s="7" t="s">
        <v>7</v>
      </c>
      <c r="P40" s="7"/>
      <c r="Q40" s="7" t="s">
        <v>7</v>
      </c>
      <c r="R40" s="4" t="s">
        <v>7</v>
      </c>
    </row>
    <row r="41" spans="1:18" s="4" customFormat="1" ht="57" hidden="1" customHeight="1" x14ac:dyDescent="0.25">
      <c r="A41" s="3" t="s">
        <v>7</v>
      </c>
      <c r="B41" s="13" t="s">
        <v>385</v>
      </c>
      <c r="C41" s="7" t="s">
        <v>13</v>
      </c>
      <c r="D41" s="7" t="s">
        <v>80</v>
      </c>
      <c r="E41" s="7" t="str">
        <f>VLOOKUP(G41,'Z0000002-508684 BOM triển k hai'!$G$3:$R$42,12,0)</f>
        <v>AL6061 anode đen</v>
      </c>
      <c r="F41" s="7" t="s">
        <v>7</v>
      </c>
      <c r="G41" s="7" t="s">
        <v>81</v>
      </c>
      <c r="H41" s="7" t="str">
        <f>VLOOKUP(G41,'Z0000002-508684 BOM triển k hai'!$G$3:$H$42,2,0)</f>
        <v>GTAM</v>
      </c>
      <c r="I41" s="7">
        <f t="shared" si="0"/>
        <v>4</v>
      </c>
      <c r="J41" s="7">
        <f t="shared" si="1"/>
        <v>24</v>
      </c>
      <c r="K41" s="7" t="s">
        <v>536</v>
      </c>
      <c r="L41" s="7" t="s">
        <v>7</v>
      </c>
      <c r="M41" s="7"/>
      <c r="N41" s="7" t="s">
        <v>7</v>
      </c>
      <c r="O41" s="7" t="s">
        <v>7</v>
      </c>
      <c r="P41" s="7"/>
      <c r="Q41" s="7" t="s">
        <v>7</v>
      </c>
      <c r="R41" s="4" t="s">
        <v>7</v>
      </c>
    </row>
    <row r="43" spans="1:18" x14ac:dyDescent="0.25">
      <c r="H43" s="15" t="str">
        <f>'Z0000002-508701 BOM triển k hai'!H40</f>
        <v>Belt</v>
      </c>
      <c r="I43" s="15" t="str">
        <f>'Z0000002-508701 BOM triển k hai'!I40</f>
        <v>đã nhận đủ hàng 9/4</v>
      </c>
      <c r="J43" s="15" t="str">
        <f>'Z0000002-508701 BOM triển k hai'!J40</f>
        <v>đã đặt hàng 10/4, hẹn 25/4 giao 50%, 5/5 giao nốt</v>
      </c>
      <c r="K43" s="15">
        <f>'Z0000002-508701 BOM triển k hai'!K40</f>
        <v>0</v>
      </c>
    </row>
    <row r="44" spans="1:18" x14ac:dyDescent="0.25">
      <c r="H44" s="15" t="str">
        <f>'Z0000002-508701 BOM triển k hai'!H41</f>
        <v>CG</v>
      </c>
      <c r="I44" s="15" t="str">
        <f>'Z0000002-508701 BOM triển k hai'!I41</f>
        <v>đã xong 9/4</v>
      </c>
      <c r="J44" s="15">
        <f>'Z0000002-508701 BOM triển k hai'!J41</f>
        <v>0</v>
      </c>
      <c r="K44" s="15">
        <f>'Z0000002-508701 BOM triển k hai'!K41</f>
        <v>0</v>
      </c>
    </row>
    <row r="45" spans="1:18" x14ac:dyDescent="0.25">
      <c r="H45" s="15" t="str">
        <f>'Z0000002-508701 BOM triển k hai'!H42</f>
        <v>Chốt cài</v>
      </c>
      <c r="I45" s="15" t="str">
        <f>'Z0000002-508701 BOM triển k hai'!I42</f>
        <v>đã tồn kho</v>
      </c>
      <c r="J45" s="15" t="str">
        <f>'Z0000002-508701 BOM triển k hai'!J42</f>
        <v>đã tồn kho</v>
      </c>
      <c r="K45" s="15">
        <f>'Z0000002-508701 BOM triển k hai'!K42</f>
        <v>0</v>
      </c>
    </row>
    <row r="46" spans="1:18" x14ac:dyDescent="0.25">
      <c r="H46" s="15" t="str">
        <f>'Z0000002-508701 BOM triển k hai'!H43</f>
        <v>GTAM</v>
      </c>
      <c r="I46" s="15" t="str">
        <f>'Z0000002-508701 BOM triển k hai'!I43</f>
        <v>9/4 đã xong</v>
      </c>
      <c r="J46" s="15">
        <f>'Z0000002-508701 BOM triển k hai'!J43</f>
        <v>0</v>
      </c>
      <c r="K46" s="15">
        <f>'Z0000002-508701 BOM triển k hai'!K43</f>
        <v>0</v>
      </c>
    </row>
    <row r="47" spans="1:18" x14ac:dyDescent="0.25">
      <c r="H47" s="15" t="str">
        <f>'Z0000002-508701 BOM triển k hai'!H44</f>
        <v>MI</v>
      </c>
      <c r="I47" s="15" t="str">
        <f>'Z0000002-508701 BOM triển k hai'!I44</f>
        <v>đã chốt đặt, dự kiến về trước 10/4</v>
      </c>
      <c r="J47" s="15" t="str">
        <f>'Z0000002-508701 BOM triển k hai'!J44</f>
        <v xml:space="preserve">đã nhận đủ 13/4, </v>
      </c>
      <c r="K47" s="15">
        <f>'Z0000002-508701 BOM triển k hai'!K44</f>
        <v>0</v>
      </c>
    </row>
    <row r="48" spans="1:18" x14ac:dyDescent="0.25">
      <c r="H48" s="15" t="str">
        <f>'Z0000002-508701 BOM triển k hai'!H45</f>
        <v>TT</v>
      </c>
      <c r="I48" s="15" t="str">
        <f>'Z0000002-508701 BOM triển k hai'!I45</f>
        <v>đã giao lô đầu 30 set</v>
      </c>
      <c r="J48" s="15" t="str">
        <f>'Z0000002-508701 BOM triển k hai'!J45</f>
        <v>9/4 nhận 159 bộ, thiếu rulo chủ động giao sau</v>
      </c>
      <c r="K48" s="15">
        <f>'Z0000002-508701 BOM triển k hai'!K45</f>
        <v>0</v>
      </c>
    </row>
    <row r="49" spans="8:11" x14ac:dyDescent="0.25">
      <c r="H49" s="15" t="str">
        <f>'Z0000002-508701 BOM triển k hai'!H46</f>
        <v>Phanh trục</v>
      </c>
      <c r="I49" s="15" t="str">
        <f>'Z0000002-508701 BOM triển k hai'!I46</f>
        <v>đã tồn kho sẵn</v>
      </c>
      <c r="J49" s="15" t="str">
        <f>'Z0000002-508701 BOM triển k hai'!J46</f>
        <v>đã tồn kho sẵn</v>
      </c>
      <c r="K49" s="15">
        <f>'Z0000002-508701 BOM triển k hai'!K46</f>
        <v>0</v>
      </c>
    </row>
    <row r="50" spans="8:11" x14ac:dyDescent="0.25">
      <c r="H50" s="15" t="str">
        <f>'Z0000002-508701 BOM triển k hai'!H47</f>
        <v>SPG</v>
      </c>
      <c r="I50" s="15" t="str">
        <f>'Z0000002-508701 BOM triển k hai'!I47</f>
        <v>NG báo đã nhận 27 set, đủ lô 7CV</v>
      </c>
      <c r="J50" s="15">
        <f>'Z0000002-508701 BOM triển k hai'!J47</f>
        <v>0</v>
      </c>
      <c r="K50" s="15">
        <f>'Z0000002-508701 BOM triển k hai'!K47</f>
        <v>0</v>
      </c>
    </row>
    <row r="51" spans="8:11" x14ac:dyDescent="0.25">
      <c r="H51" s="15" t="str">
        <f>'Z0000002-508701 BOM triển k hai'!H48</f>
        <v>UP</v>
      </c>
      <c r="I51" s="15" t="str">
        <f>'Z0000002-508701 BOM triển k hai'!I48</f>
        <v>đã chốt đặt, dự kiến về trước 10/4</v>
      </c>
      <c r="J51" s="15">
        <f>'Z0000002-508701 BOM triển k hai'!J48</f>
        <v>0</v>
      </c>
      <c r="K51" s="15">
        <f>'Z0000002-508701 BOM triển k hai'!K48</f>
        <v>0</v>
      </c>
    </row>
    <row r="52" spans="8:11" x14ac:dyDescent="0.25">
      <c r="H52" s="15" t="str">
        <f>'Z0000002-508701 BOM triển k hai'!H49</f>
        <v>VB C-SE688ZZ</v>
      </c>
      <c r="I52" s="15" t="str">
        <f>'Z0000002-508701 BOM triển k hai'!I49</f>
        <v>đặt tổng 432, đã về hàng 9/4</v>
      </c>
      <c r="J52" s="15" t="str">
        <f>'Z0000002-508701 BOM triển k hai'!J49</f>
        <v>Tổng lô đặt HC 2280, 14/4 về trc 630</v>
      </c>
      <c r="K52" s="15">
        <f>'Z0000002-508701 BOM triển k hai'!K49</f>
        <v>0</v>
      </c>
    </row>
    <row r="53" spans="8:11" x14ac:dyDescent="0.25">
      <c r="H53" s="15" t="str">
        <f>'Z0000002-508701 BOM triển k hai'!H50</f>
        <v>VB C-SE6000ZZ</v>
      </c>
      <c r="I53" s="15" t="str">
        <f>'Z0000002-508701 BOM triển k hai'!I50</f>
        <v>đã nhận hàng 27/3</v>
      </c>
      <c r="J53" s="15" t="str">
        <f>'Z0000002-508701 BOM triển k hai'!J50</f>
        <v>tổng lô 324, đã về đủ 13/4</v>
      </c>
      <c r="K53" s="15"/>
    </row>
    <row r="54" spans="8:11" x14ac:dyDescent="0.25">
      <c r="H54" s="15">
        <f>'Z0000002-508701 BOM triển k hai'!H51</f>
        <v>0</v>
      </c>
      <c r="I54" s="15">
        <f>'Z0000002-508701 BOM triển k hai'!I51</f>
        <v>0</v>
      </c>
      <c r="J54" s="15">
        <f>'Z0000002-508701 BOM triển k hai'!J51</f>
        <v>0</v>
      </c>
      <c r="K54" s="15">
        <f>'Z0000002-508701 BOM triển k hai'!K51</f>
        <v>0</v>
      </c>
    </row>
  </sheetData>
  <autoFilter ref="A2:I41" xr:uid="{88FF43EB-1D94-4CF9-8313-FDF43471428E}">
    <filterColumn colId="7">
      <filters>
        <filter val="SPG"/>
      </filters>
    </filterColumn>
  </autoFilter>
  <phoneticPr fontId="9" type="noConversion"/>
  <conditionalFormatting sqref="G1:G1048576">
    <cfRule type="duplicateValues" dxfId="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A584-6E4C-43A1-8605-5DDF4DFEFA9F}">
  <sheetPr filterMode="1"/>
  <dimension ref="A1:R48"/>
  <sheetViews>
    <sheetView workbookViewId="0">
      <selection activeCell="J38" sqref="J38"/>
    </sheetView>
  </sheetViews>
  <sheetFormatPr defaultRowHeight="15" x14ac:dyDescent="0.25"/>
  <cols>
    <col min="1" max="1" width="16.42578125" customWidth="1"/>
    <col min="2" max="2" width="12" customWidth="1"/>
    <col min="3" max="3" width="9.7109375" customWidth="1"/>
    <col min="4" max="4" width="37.28515625" customWidth="1"/>
    <col min="5" max="5" width="69.28515625" customWidth="1"/>
    <col min="6" max="6" width="15.85546875" customWidth="1"/>
    <col min="7" max="7" width="19.7109375" customWidth="1"/>
    <col min="8" max="18" width="19.42578125" customWidth="1"/>
  </cols>
  <sheetData>
    <row r="1" spans="1:18" ht="27" thickBot="1" x14ac:dyDescent="0.45">
      <c r="A1" s="1" t="s">
        <v>162</v>
      </c>
      <c r="B1" s="2"/>
      <c r="C1" s="2"/>
      <c r="D1" s="2"/>
      <c r="H1" s="10" t="s">
        <v>234</v>
      </c>
      <c r="I1" s="10">
        <v>2</v>
      </c>
      <c r="J1" s="10">
        <f>'[1]ducpt trien khai'!$I$31</f>
        <v>12</v>
      </c>
    </row>
    <row r="2" spans="1:18" s="6" customFormat="1" ht="16.5" thickTop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1" t="s">
        <v>233</v>
      </c>
      <c r="I2" s="12" t="s">
        <v>234</v>
      </c>
      <c r="J2" s="12"/>
      <c r="K2" s="9" t="s">
        <v>520</v>
      </c>
      <c r="L2" s="5"/>
      <c r="M2" s="5"/>
      <c r="N2" s="5"/>
      <c r="O2" s="5"/>
      <c r="P2" s="5"/>
      <c r="Q2" s="5"/>
      <c r="R2" s="5" t="s">
        <v>509</v>
      </c>
    </row>
    <row r="3" spans="1:18" s="4" customFormat="1" ht="60" hidden="1" customHeight="1" x14ac:dyDescent="0.25">
      <c r="A3" s="3" t="s">
        <v>7</v>
      </c>
      <c r="B3" s="13" t="s">
        <v>386</v>
      </c>
      <c r="C3" s="7" t="s">
        <v>13</v>
      </c>
      <c r="D3" s="7" t="s">
        <v>138</v>
      </c>
      <c r="E3" s="7" t="s">
        <v>488</v>
      </c>
      <c r="F3" s="7" t="s">
        <v>7</v>
      </c>
      <c r="G3" s="7" t="s">
        <v>139</v>
      </c>
      <c r="H3" s="7" t="s">
        <v>487</v>
      </c>
      <c r="I3" s="7">
        <f>C3*$I$1</f>
        <v>4</v>
      </c>
      <c r="J3" s="7">
        <f>$J$1*C3</f>
        <v>24</v>
      </c>
      <c r="K3" s="7"/>
      <c r="L3" s="7" t="s">
        <v>7</v>
      </c>
      <c r="M3" s="7" t="s">
        <v>7</v>
      </c>
      <c r="N3" s="7"/>
      <c r="O3" s="7" t="s">
        <v>7</v>
      </c>
      <c r="P3" s="7" t="s">
        <v>7</v>
      </c>
      <c r="Q3" s="7"/>
      <c r="R3" s="7" t="str">
        <f>E3</f>
        <v>SUS304, điện hóa</v>
      </c>
    </row>
    <row r="4" spans="1:18" s="4" customFormat="1" ht="60" hidden="1" customHeight="1" x14ac:dyDescent="0.25">
      <c r="A4" s="3" t="s">
        <v>7</v>
      </c>
      <c r="B4" s="13" t="s">
        <v>387</v>
      </c>
      <c r="C4" s="7" t="s">
        <v>8</v>
      </c>
      <c r="D4" s="7" t="s">
        <v>140</v>
      </c>
      <c r="E4" s="7" t="s">
        <v>510</v>
      </c>
      <c r="F4" s="7" t="s">
        <v>7</v>
      </c>
      <c r="G4" s="7" t="s">
        <v>141</v>
      </c>
      <c r="H4" s="7" t="s">
        <v>511</v>
      </c>
      <c r="I4" s="7">
        <f t="shared" ref="I4:I32" si="0">C4*$I$1</f>
        <v>2</v>
      </c>
      <c r="J4" s="7">
        <f t="shared" ref="J4:J32" si="1">$J$1*C4</f>
        <v>12</v>
      </c>
      <c r="K4" s="7"/>
      <c r="L4" s="7" t="s">
        <v>7</v>
      </c>
      <c r="M4" s="7" t="s">
        <v>7</v>
      </c>
      <c r="N4" s="7"/>
      <c r="O4" s="7" t="s">
        <v>7</v>
      </c>
      <c r="P4" s="7" t="s">
        <v>7</v>
      </c>
      <c r="Q4" s="7"/>
      <c r="R4" s="7" t="str">
        <f t="shared" ref="R4:R32" si="2">E4</f>
        <v>Bulong/ đệm</v>
      </c>
    </row>
    <row r="5" spans="1:18" s="4" customFormat="1" ht="60" hidden="1" customHeight="1" x14ac:dyDescent="0.25">
      <c r="A5" s="3" t="s">
        <v>7</v>
      </c>
      <c r="B5" s="13" t="s">
        <v>388</v>
      </c>
      <c r="C5" s="7" t="s">
        <v>8</v>
      </c>
      <c r="D5" s="7" t="s">
        <v>36</v>
      </c>
      <c r="E5" s="7" t="str">
        <f>VLOOKUP(G5,'Z0000002-508684 BOM triển k hai'!$G$3:$R$42,12,0)</f>
        <v>AL6061 anode đen</v>
      </c>
      <c r="F5" s="7" t="s">
        <v>7</v>
      </c>
      <c r="G5" s="7" t="s">
        <v>37</v>
      </c>
      <c r="H5" s="7" t="str">
        <f>VLOOKUP(G5,'Z0000002-508684 BOM triển k hai'!$G$3:$H$42,2,0)</f>
        <v>GTAM</v>
      </c>
      <c r="I5" s="7">
        <f t="shared" si="0"/>
        <v>2</v>
      </c>
      <c r="J5" s="7">
        <f t="shared" si="1"/>
        <v>12</v>
      </c>
      <c r="K5" s="7" t="s">
        <v>536</v>
      </c>
      <c r="L5" s="7" t="s">
        <v>7</v>
      </c>
      <c r="M5" s="7" t="s">
        <v>7</v>
      </c>
      <c r="N5" s="7"/>
      <c r="O5" s="7" t="s">
        <v>7</v>
      </c>
      <c r="P5" s="7" t="s">
        <v>7</v>
      </c>
      <c r="Q5" s="7"/>
      <c r="R5" s="7" t="str">
        <f t="shared" si="2"/>
        <v>AL6061 anode đen</v>
      </c>
    </row>
    <row r="6" spans="1:18" s="4" customFormat="1" ht="60" customHeight="1" x14ac:dyDescent="0.25">
      <c r="A6" s="3" t="s">
        <v>7</v>
      </c>
      <c r="B6" s="13" t="s">
        <v>389</v>
      </c>
      <c r="C6" s="7" t="s">
        <v>8</v>
      </c>
      <c r="D6" s="7" t="s">
        <v>142</v>
      </c>
      <c r="E6" s="14" t="s">
        <v>537</v>
      </c>
      <c r="F6" s="7" t="s">
        <v>7</v>
      </c>
      <c r="G6" s="7" t="s">
        <v>143</v>
      </c>
      <c r="H6" s="7" t="s">
        <v>483</v>
      </c>
      <c r="I6" s="7">
        <f t="shared" si="0"/>
        <v>2</v>
      </c>
      <c r="J6" s="7">
        <f t="shared" si="1"/>
        <v>12</v>
      </c>
      <c r="K6" s="7"/>
      <c r="L6" s="7" t="s">
        <v>7</v>
      </c>
      <c r="M6" s="7" t="s">
        <v>7</v>
      </c>
      <c r="N6" s="7"/>
      <c r="O6" s="7" t="s">
        <v>7</v>
      </c>
      <c r="P6" s="7" t="s">
        <v>7</v>
      </c>
      <c r="Q6" s="7"/>
      <c r="R6" s="7" t="str">
        <f t="shared" si="2"/>
        <v>TTBU225T5-100 --&gt; đổi sang  C-TTBN225T5-150</v>
      </c>
    </row>
    <row r="7" spans="1:18" s="4" customFormat="1" ht="60" hidden="1" customHeight="1" x14ac:dyDescent="0.25">
      <c r="A7" s="3" t="s">
        <v>7</v>
      </c>
      <c r="B7" s="13" t="s">
        <v>390</v>
      </c>
      <c r="C7" s="7" t="s">
        <v>8</v>
      </c>
      <c r="D7" s="7" t="s">
        <v>144</v>
      </c>
      <c r="E7" s="7" t="str">
        <f>VLOOKUP(G7,'Z0000002-508684 BOM triển k hai'!$G$3:$R$42,12,0)</f>
        <v>AL6061 anode đen</v>
      </c>
      <c r="F7" s="7" t="s">
        <v>7</v>
      </c>
      <c r="G7" s="7" t="s">
        <v>33</v>
      </c>
      <c r="H7" s="7" t="str">
        <f>VLOOKUP(G7,'Z0000002-508684 BOM triển k hai'!$G$3:$H$42,2,0)</f>
        <v>GTAM</v>
      </c>
      <c r="I7" s="7">
        <f t="shared" si="0"/>
        <v>2</v>
      </c>
      <c r="J7" s="7">
        <f t="shared" si="1"/>
        <v>12</v>
      </c>
      <c r="K7" s="7" t="s">
        <v>536</v>
      </c>
      <c r="L7" s="7" t="s">
        <v>7</v>
      </c>
      <c r="M7" s="7" t="s">
        <v>7</v>
      </c>
      <c r="N7" s="7"/>
      <c r="O7" s="7" t="s">
        <v>7</v>
      </c>
      <c r="P7" s="7" t="s">
        <v>7</v>
      </c>
      <c r="Q7" s="7"/>
      <c r="R7" s="7" t="str">
        <f t="shared" si="2"/>
        <v>AL6061 anode đen</v>
      </c>
    </row>
    <row r="8" spans="1:18" s="4" customFormat="1" ht="60" hidden="1" customHeight="1" x14ac:dyDescent="0.25">
      <c r="A8" s="3" t="s">
        <v>7</v>
      </c>
      <c r="B8" s="13" t="s">
        <v>391</v>
      </c>
      <c r="C8" s="7" t="s">
        <v>8</v>
      </c>
      <c r="D8" s="7" t="s">
        <v>145</v>
      </c>
      <c r="E8" s="7" t="str">
        <f>VLOOKUP(G8,'Z0000002-508684 BOM triển k hai'!$G$3:$R$42,12,0)</f>
        <v>HTPA18S5M100-B-N10-FC30.0 đổi sang HTPA18S5M150-B-N10-FC30.0</v>
      </c>
      <c r="F8" s="7" t="s">
        <v>7</v>
      </c>
      <c r="G8" s="7" t="s">
        <v>73</v>
      </c>
      <c r="H8" s="7" t="str">
        <f>VLOOKUP(G8,'Z0000002-508684 BOM triển k hai'!$G$3:$H$42,2,0)</f>
        <v>UP</v>
      </c>
      <c r="I8" s="7">
        <f t="shared" si="0"/>
        <v>2</v>
      </c>
      <c r="J8" s="7">
        <f t="shared" si="1"/>
        <v>12</v>
      </c>
      <c r="K8" s="7"/>
      <c r="L8" s="7" t="s">
        <v>7</v>
      </c>
      <c r="M8" s="7" t="s">
        <v>7</v>
      </c>
      <c r="N8" s="7"/>
      <c r="O8" s="7" t="s">
        <v>7</v>
      </c>
      <c r="P8" s="7" t="s">
        <v>7</v>
      </c>
      <c r="Q8" s="7"/>
      <c r="R8" s="7" t="str">
        <f t="shared" si="2"/>
        <v>HTPA18S5M100-B-N10-FC30.0 đổi sang HTPA18S5M150-B-N10-FC30.0</v>
      </c>
    </row>
    <row r="9" spans="1:18" s="4" customFormat="1" ht="60" hidden="1" customHeight="1" x14ac:dyDescent="0.25">
      <c r="A9" s="3" t="s">
        <v>7</v>
      </c>
      <c r="B9" s="13" t="s">
        <v>392</v>
      </c>
      <c r="C9" s="7" t="s">
        <v>52</v>
      </c>
      <c r="D9" s="7" t="s">
        <v>53</v>
      </c>
      <c r="E9" s="7" t="str">
        <f>VLOOKUP(G9,'Z0000002-508684 BOM triển k hai'!$G$3:$R$42,12,0)</f>
        <v>Vòng bi SB688ZZ --&gt; đổi sang C-SE688ZZ</v>
      </c>
      <c r="F9" s="7" t="s">
        <v>7</v>
      </c>
      <c r="G9" s="7" t="s">
        <v>54</v>
      </c>
      <c r="H9" s="7" t="str">
        <f>VLOOKUP(G9,'Z0000002-508684 BOM triển k hai'!$G$3:$H$42,2,0)</f>
        <v>VB C-SE688ZZ</v>
      </c>
      <c r="I9" s="7">
        <f t="shared" si="0"/>
        <v>32</v>
      </c>
      <c r="J9" s="7">
        <f t="shared" si="1"/>
        <v>192</v>
      </c>
      <c r="K9" s="7"/>
      <c r="L9" s="7" t="s">
        <v>7</v>
      </c>
      <c r="M9" s="7" t="s">
        <v>7</v>
      </c>
      <c r="N9" s="7"/>
      <c r="O9" s="7" t="s">
        <v>7</v>
      </c>
      <c r="P9" s="7" t="s">
        <v>7</v>
      </c>
      <c r="Q9" s="7"/>
      <c r="R9" s="7" t="str">
        <f t="shared" si="2"/>
        <v>Vòng bi SB688ZZ --&gt; đổi sang C-SE688ZZ</v>
      </c>
    </row>
    <row r="10" spans="1:18" s="4" customFormat="1" ht="60" hidden="1" customHeight="1" x14ac:dyDescent="0.25">
      <c r="A10" s="3" t="s">
        <v>7</v>
      </c>
      <c r="B10" s="13" t="s">
        <v>393</v>
      </c>
      <c r="C10" s="7" t="s">
        <v>13</v>
      </c>
      <c r="D10" s="7" t="s">
        <v>55</v>
      </c>
      <c r="E10" s="7" t="str">
        <f>VLOOKUP(G10,'Z0000002-508684 BOM triển k hai'!$G$3:$R$42,12,0)</f>
        <v>SUS304, điện hóa</v>
      </c>
      <c r="F10" s="7" t="s">
        <v>7</v>
      </c>
      <c r="G10" s="7" t="s">
        <v>56</v>
      </c>
      <c r="H10" s="7" t="str">
        <f>VLOOKUP(G10,'Z0000002-508684 BOM triển k hai'!$G$3:$H$42,2,0)</f>
        <v>TT</v>
      </c>
      <c r="I10" s="7">
        <f t="shared" si="0"/>
        <v>4</v>
      </c>
      <c r="J10" s="7">
        <f t="shared" si="1"/>
        <v>24</v>
      </c>
      <c r="K10" s="7"/>
      <c r="L10" s="7" t="s">
        <v>7</v>
      </c>
      <c r="M10" s="7" t="s">
        <v>7</v>
      </c>
      <c r="N10" s="7"/>
      <c r="O10" s="7" t="s">
        <v>7</v>
      </c>
      <c r="P10" s="7" t="s">
        <v>7</v>
      </c>
      <c r="Q10" s="7"/>
      <c r="R10" s="7" t="str">
        <f t="shared" si="2"/>
        <v>SUS304, điện hóa</v>
      </c>
    </row>
    <row r="11" spans="1:18" s="4" customFormat="1" ht="60" hidden="1" customHeight="1" x14ac:dyDescent="0.25">
      <c r="A11" s="3" t="s">
        <v>7</v>
      </c>
      <c r="B11" s="13" t="s">
        <v>394</v>
      </c>
      <c r="C11" s="7" t="s">
        <v>57</v>
      </c>
      <c r="D11" s="7" t="s">
        <v>58</v>
      </c>
      <c r="E11" s="7" t="str">
        <f>VLOOKUP(G11,'Z0000002-508684 BOM triển k hai'!$G$3:$R$42,12,0)</f>
        <v>Phanh trục STWN8</v>
      </c>
      <c r="F11" s="7" t="s">
        <v>7</v>
      </c>
      <c r="G11" s="7" t="s">
        <v>59</v>
      </c>
      <c r="H11" s="7" t="str">
        <f>VLOOKUP(G11,'Z0000002-508684 BOM triển k hai'!$G$3:$H$42,2,0)</f>
        <v>Phanh trục</v>
      </c>
      <c r="I11" s="7">
        <f t="shared" si="0"/>
        <v>16</v>
      </c>
      <c r="J11" s="7">
        <f t="shared" si="1"/>
        <v>96</v>
      </c>
      <c r="K11" s="7"/>
      <c r="L11" s="7" t="s">
        <v>7</v>
      </c>
      <c r="M11" s="7" t="s">
        <v>7</v>
      </c>
      <c r="N11" s="7"/>
      <c r="O11" s="7" t="s">
        <v>7</v>
      </c>
      <c r="P11" s="7" t="s">
        <v>7</v>
      </c>
      <c r="Q11" s="7"/>
      <c r="R11" s="7" t="str">
        <f t="shared" si="2"/>
        <v>Phanh trục STWN8</v>
      </c>
    </row>
    <row r="12" spans="1:18" s="4" customFormat="1" ht="60" hidden="1" customHeight="1" x14ac:dyDescent="0.25">
      <c r="A12" s="3" t="s">
        <v>7</v>
      </c>
      <c r="B12" s="13" t="s">
        <v>395</v>
      </c>
      <c r="C12" s="7" t="s">
        <v>49</v>
      </c>
      <c r="D12" s="7" t="s">
        <v>50</v>
      </c>
      <c r="E12" s="7" t="str">
        <f>VLOOKUP(G12,'Z0000002-508684 BOM triển k hai'!$G$3:$R$42,12,0)</f>
        <v>Rulo</v>
      </c>
      <c r="F12" s="7" t="s">
        <v>7</v>
      </c>
      <c r="G12" s="7" t="s">
        <v>51</v>
      </c>
      <c r="H12" s="7" t="str">
        <f>VLOOKUP(G12,'Z0000002-508684 BOM triển k hai'!$G$3:$H$42,2,0)</f>
        <v>TT</v>
      </c>
      <c r="I12" s="7">
        <f t="shared" si="0"/>
        <v>8</v>
      </c>
      <c r="J12" s="7">
        <f t="shared" si="1"/>
        <v>48</v>
      </c>
      <c r="K12" s="7"/>
      <c r="L12" s="7" t="s">
        <v>7</v>
      </c>
      <c r="M12" s="7" t="s">
        <v>7</v>
      </c>
      <c r="N12" s="7"/>
      <c r="O12" s="7" t="s">
        <v>7</v>
      </c>
      <c r="P12" s="7" t="s">
        <v>7</v>
      </c>
      <c r="Q12" s="7"/>
      <c r="R12" s="7" t="str">
        <f t="shared" si="2"/>
        <v>Rulo</v>
      </c>
    </row>
    <row r="13" spans="1:18" s="4" customFormat="1" ht="60" hidden="1" customHeight="1" x14ac:dyDescent="0.25">
      <c r="A13" s="3" t="s">
        <v>7</v>
      </c>
      <c r="B13" s="13" t="s">
        <v>396</v>
      </c>
      <c r="C13" s="7" t="s">
        <v>13</v>
      </c>
      <c r="D13" s="7" t="s">
        <v>146</v>
      </c>
      <c r="E13" s="7" t="str">
        <f>E4</f>
        <v>Bulong/ đệm</v>
      </c>
      <c r="F13" s="7" t="s">
        <v>7</v>
      </c>
      <c r="G13" s="7" t="s">
        <v>147</v>
      </c>
      <c r="H13" s="7" t="str">
        <f>H4</f>
        <v>Bulong/đệm</v>
      </c>
      <c r="I13" s="7">
        <f t="shared" si="0"/>
        <v>4</v>
      </c>
      <c r="J13" s="7">
        <f t="shared" si="1"/>
        <v>24</v>
      </c>
      <c r="K13" s="7"/>
      <c r="L13" s="7" t="s">
        <v>7</v>
      </c>
      <c r="M13" s="7" t="s">
        <v>7</v>
      </c>
      <c r="N13" s="7"/>
      <c r="O13" s="7" t="s">
        <v>7</v>
      </c>
      <c r="P13" s="7" t="s">
        <v>7</v>
      </c>
      <c r="Q13" s="7"/>
      <c r="R13" s="7" t="str">
        <f t="shared" si="2"/>
        <v>Bulong/ đệm</v>
      </c>
    </row>
    <row r="14" spans="1:18" s="4" customFormat="1" ht="60" hidden="1" customHeight="1" x14ac:dyDescent="0.25">
      <c r="A14" s="3" t="s">
        <v>7</v>
      </c>
      <c r="B14" s="13" t="s">
        <v>397</v>
      </c>
      <c r="C14" s="7" t="s">
        <v>13</v>
      </c>
      <c r="D14" s="7" t="s">
        <v>80</v>
      </c>
      <c r="E14" s="7" t="str">
        <f>VLOOKUP(G14,'Z0000002-508684 BOM triển k hai'!$G$3:$R$42,12,0)</f>
        <v>AL6061 anode đen</v>
      </c>
      <c r="F14" s="7" t="s">
        <v>7</v>
      </c>
      <c r="G14" s="7" t="s">
        <v>81</v>
      </c>
      <c r="H14" s="7" t="str">
        <f>VLOOKUP(G14,'Z0000002-508684 BOM triển k hai'!$G$3:$H$42,2,0)</f>
        <v>GTAM</v>
      </c>
      <c r="I14" s="7">
        <f t="shared" si="0"/>
        <v>4</v>
      </c>
      <c r="J14" s="7">
        <f t="shared" si="1"/>
        <v>24</v>
      </c>
      <c r="K14" s="7" t="s">
        <v>536</v>
      </c>
      <c r="L14" s="7" t="s">
        <v>7</v>
      </c>
      <c r="M14" s="7" t="s">
        <v>7</v>
      </c>
      <c r="N14" s="7"/>
      <c r="O14" s="7" t="s">
        <v>7</v>
      </c>
      <c r="P14" s="7" t="s">
        <v>7</v>
      </c>
      <c r="Q14" s="7"/>
      <c r="R14" s="7" t="str">
        <f t="shared" si="2"/>
        <v>AL6061 anode đen</v>
      </c>
    </row>
    <row r="15" spans="1:18" s="4" customFormat="1" ht="60" hidden="1" customHeight="1" x14ac:dyDescent="0.25">
      <c r="A15" s="3" t="s">
        <v>7</v>
      </c>
      <c r="B15" s="13" t="s">
        <v>398</v>
      </c>
      <c r="C15" s="7" t="s">
        <v>13</v>
      </c>
      <c r="D15" s="7" t="s">
        <v>79</v>
      </c>
      <c r="E15" s="7" t="str">
        <f>VLOOKUP(G15,'Z0000002-508684 BOM triển k hai'!$G$3:$R$42,12,0)</f>
        <v>AL6061 anode đen</v>
      </c>
      <c r="F15" s="7" t="s">
        <v>7</v>
      </c>
      <c r="G15" s="7" t="s">
        <v>37</v>
      </c>
      <c r="H15" s="7" t="str">
        <f>VLOOKUP(G15,'Z0000002-508684 BOM triển k hai'!$G$3:$H$42,2,0)</f>
        <v>GTAM</v>
      </c>
      <c r="I15" s="7">
        <f t="shared" si="0"/>
        <v>4</v>
      </c>
      <c r="J15" s="7">
        <f t="shared" si="1"/>
        <v>24</v>
      </c>
      <c r="K15" s="7" t="s">
        <v>536</v>
      </c>
      <c r="L15" s="7" t="s">
        <v>7</v>
      </c>
      <c r="M15" s="7" t="s">
        <v>7</v>
      </c>
      <c r="N15" s="7"/>
      <c r="O15" s="7" t="s">
        <v>7</v>
      </c>
      <c r="P15" s="7" t="s">
        <v>7</v>
      </c>
      <c r="Q15" s="7"/>
      <c r="R15" s="7" t="str">
        <f t="shared" si="2"/>
        <v>AL6061 anode đen</v>
      </c>
    </row>
    <row r="16" spans="1:18" s="4" customFormat="1" ht="60" hidden="1" customHeight="1" x14ac:dyDescent="0.25">
      <c r="A16" s="3" t="s">
        <v>7</v>
      </c>
      <c r="B16" s="13" t="s">
        <v>399</v>
      </c>
      <c r="C16" s="7" t="s">
        <v>13</v>
      </c>
      <c r="D16" s="7" t="s">
        <v>77</v>
      </c>
      <c r="E16" s="7" t="str">
        <f>VLOOKUP(G16,'Z0000002-508684 BOM triển k hai'!$G$3:$R$42,12,0)</f>
        <v>SUS304, điện hóa</v>
      </c>
      <c r="F16" s="7" t="s">
        <v>7</v>
      </c>
      <c r="G16" s="7" t="s">
        <v>78</v>
      </c>
      <c r="H16" s="7" t="str">
        <f>VLOOKUP(G16,'Z0000002-508684 BOM triển k hai'!$G$3:$H$42,2,0)</f>
        <v>TT</v>
      </c>
      <c r="I16" s="7">
        <f t="shared" si="0"/>
        <v>4</v>
      </c>
      <c r="J16" s="7">
        <f t="shared" si="1"/>
        <v>24</v>
      </c>
      <c r="K16" s="7"/>
      <c r="L16" s="7" t="s">
        <v>7</v>
      </c>
      <c r="M16" s="7" t="s">
        <v>7</v>
      </c>
      <c r="N16" s="7"/>
      <c r="O16" s="7" t="s">
        <v>7</v>
      </c>
      <c r="P16" s="7" t="s">
        <v>7</v>
      </c>
      <c r="Q16" s="7"/>
      <c r="R16" s="7" t="str">
        <f t="shared" si="2"/>
        <v>SUS304, điện hóa</v>
      </c>
    </row>
    <row r="17" spans="1:18" s="4" customFormat="1" ht="60" hidden="1" customHeight="1" x14ac:dyDescent="0.25">
      <c r="A17" s="3" t="s">
        <v>7</v>
      </c>
      <c r="B17" s="13" t="s">
        <v>400</v>
      </c>
      <c r="C17" s="7" t="s">
        <v>13</v>
      </c>
      <c r="D17" s="7" t="s">
        <v>148</v>
      </c>
      <c r="E17" s="7" t="s">
        <v>510</v>
      </c>
      <c r="F17" s="7" t="s">
        <v>7</v>
      </c>
      <c r="G17" s="7" t="s">
        <v>149</v>
      </c>
      <c r="H17" s="7" t="str">
        <f>H4</f>
        <v>Bulong/đệm</v>
      </c>
      <c r="I17" s="7">
        <f t="shared" si="0"/>
        <v>4</v>
      </c>
      <c r="J17" s="7">
        <f t="shared" si="1"/>
        <v>24</v>
      </c>
      <c r="K17" s="7"/>
      <c r="L17" s="7" t="s">
        <v>7</v>
      </c>
      <c r="M17" s="7" t="s">
        <v>7</v>
      </c>
      <c r="N17" s="7"/>
      <c r="O17" s="7" t="s">
        <v>7</v>
      </c>
      <c r="P17" s="7" t="s">
        <v>7</v>
      </c>
      <c r="Q17" s="7"/>
      <c r="R17" s="7" t="str">
        <f t="shared" si="2"/>
        <v>Bulong/ đệm</v>
      </c>
    </row>
    <row r="18" spans="1:18" s="4" customFormat="1" ht="60" hidden="1" customHeight="1" x14ac:dyDescent="0.25">
      <c r="A18" s="3" t="s">
        <v>7</v>
      </c>
      <c r="B18" s="13" t="s">
        <v>401</v>
      </c>
      <c r="C18" s="7" t="s">
        <v>49</v>
      </c>
      <c r="D18" s="7" t="s">
        <v>62</v>
      </c>
      <c r="E18" s="7" t="str">
        <f>VLOOKUP(G18,'Z0000002-508684 BOM triển k hai'!$G$3:$R$42,12,0)</f>
        <v>SUS304, điện hóa</v>
      </c>
      <c r="F18" s="7" t="s">
        <v>7</v>
      </c>
      <c r="G18" s="7" t="s">
        <v>63</v>
      </c>
      <c r="H18" s="7" t="str">
        <f>VLOOKUP(G18,'Z0000002-508684 BOM triển k hai'!$G$3:$H$42,2,0)</f>
        <v>TT</v>
      </c>
      <c r="I18" s="7">
        <f t="shared" si="0"/>
        <v>8</v>
      </c>
      <c r="J18" s="7">
        <f t="shared" si="1"/>
        <v>48</v>
      </c>
      <c r="K18" s="7"/>
      <c r="L18" s="7" t="s">
        <v>7</v>
      </c>
      <c r="M18" s="7" t="s">
        <v>7</v>
      </c>
      <c r="N18" s="7"/>
      <c r="O18" s="7" t="s">
        <v>7</v>
      </c>
      <c r="P18" s="7" t="s">
        <v>7</v>
      </c>
      <c r="Q18" s="7"/>
      <c r="R18" s="7" t="str">
        <f t="shared" si="2"/>
        <v>SUS304, điện hóa</v>
      </c>
    </row>
    <row r="19" spans="1:18" s="4" customFormat="1" ht="60" hidden="1" customHeight="1" x14ac:dyDescent="0.25">
      <c r="A19" s="3" t="s">
        <v>7</v>
      </c>
      <c r="B19" s="13" t="s">
        <v>402</v>
      </c>
      <c r="C19" s="7" t="s">
        <v>49</v>
      </c>
      <c r="D19" s="7" t="s">
        <v>60</v>
      </c>
      <c r="E19" s="7" t="str">
        <f>VLOOKUP(G19,'Z0000002-508684 BOM triển k hai'!$G$3:$R$42,12,0)</f>
        <v>Rulo</v>
      </c>
      <c r="F19" s="7" t="s">
        <v>7</v>
      </c>
      <c r="G19" s="7" t="s">
        <v>61</v>
      </c>
      <c r="H19" s="7" t="str">
        <f>VLOOKUP(G19,'Z0000002-508684 BOM triển k hai'!$G$3:$H$42,2,0)</f>
        <v>TT</v>
      </c>
      <c r="I19" s="7">
        <f t="shared" si="0"/>
        <v>8</v>
      </c>
      <c r="J19" s="7">
        <f t="shared" si="1"/>
        <v>48</v>
      </c>
      <c r="K19" s="7"/>
      <c r="L19" s="7" t="s">
        <v>7</v>
      </c>
      <c r="M19" s="7" t="s">
        <v>7</v>
      </c>
      <c r="N19" s="7"/>
      <c r="O19" s="7" t="s">
        <v>7</v>
      </c>
      <c r="P19" s="7" t="s">
        <v>7</v>
      </c>
      <c r="Q19" s="7"/>
      <c r="R19" s="7" t="str">
        <f t="shared" si="2"/>
        <v>Rulo</v>
      </c>
    </row>
    <row r="20" spans="1:18" s="4" customFormat="1" ht="60" hidden="1" customHeight="1" x14ac:dyDescent="0.25">
      <c r="A20" s="3" t="s">
        <v>7</v>
      </c>
      <c r="B20" s="13" t="s">
        <v>403</v>
      </c>
      <c r="C20" s="7" t="s">
        <v>8</v>
      </c>
      <c r="D20" s="7" t="s">
        <v>150</v>
      </c>
      <c r="E20" s="7" t="str">
        <f>E15</f>
        <v>AL6061 anode đen</v>
      </c>
      <c r="F20" s="7" t="s">
        <v>7</v>
      </c>
      <c r="G20" s="7" t="s">
        <v>151</v>
      </c>
      <c r="H20" s="7" t="str">
        <f>H14</f>
        <v>GTAM</v>
      </c>
      <c r="I20" s="7">
        <f t="shared" si="0"/>
        <v>2</v>
      </c>
      <c r="J20" s="7">
        <f t="shared" si="1"/>
        <v>12</v>
      </c>
      <c r="K20" s="7" t="s">
        <v>536</v>
      </c>
      <c r="L20" s="7" t="s">
        <v>7</v>
      </c>
      <c r="M20" s="7" t="s">
        <v>7</v>
      </c>
      <c r="N20" s="7"/>
      <c r="O20" s="7" t="s">
        <v>7</v>
      </c>
      <c r="P20" s="7" t="s">
        <v>7</v>
      </c>
      <c r="Q20" s="7"/>
      <c r="R20" s="7" t="str">
        <f t="shared" si="2"/>
        <v>AL6061 anode đen</v>
      </c>
    </row>
    <row r="21" spans="1:18" s="4" customFormat="1" ht="60" hidden="1" customHeight="1" x14ac:dyDescent="0.25">
      <c r="A21" s="3" t="s">
        <v>7</v>
      </c>
      <c r="B21" s="13" t="s">
        <v>404</v>
      </c>
      <c r="C21" s="7" t="s">
        <v>13</v>
      </c>
      <c r="D21" s="7" t="s">
        <v>70</v>
      </c>
      <c r="E21" s="7" t="str">
        <f>VLOOKUP(G21,'Z0000002-508684 BOM triển k hai'!$G$3:$R$42,12,0)</f>
        <v>phanh trục STWN10</v>
      </c>
      <c r="F21" s="7" t="s">
        <v>7</v>
      </c>
      <c r="G21" s="7" t="s">
        <v>71</v>
      </c>
      <c r="H21" s="7" t="str">
        <f>VLOOKUP(G21,'Z0000002-508684 BOM triển k hai'!$G$3:$H$42,2,0)</f>
        <v>Phanh trục</v>
      </c>
      <c r="I21" s="7">
        <f t="shared" si="0"/>
        <v>4</v>
      </c>
      <c r="J21" s="7">
        <f t="shared" si="1"/>
        <v>24</v>
      </c>
      <c r="K21" s="7"/>
      <c r="L21" s="7" t="s">
        <v>7</v>
      </c>
      <c r="M21" s="7" t="s">
        <v>7</v>
      </c>
      <c r="N21" s="7"/>
      <c r="O21" s="7" t="s">
        <v>7</v>
      </c>
      <c r="P21" s="7" t="s">
        <v>7</v>
      </c>
      <c r="Q21" s="7"/>
      <c r="R21" s="7" t="str">
        <f t="shared" si="2"/>
        <v>phanh trục STWN10</v>
      </c>
    </row>
    <row r="22" spans="1:18" s="4" customFormat="1" ht="60" hidden="1" customHeight="1" x14ac:dyDescent="0.25">
      <c r="A22" s="3" t="s">
        <v>7</v>
      </c>
      <c r="B22" s="13" t="s">
        <v>405</v>
      </c>
      <c r="C22" s="7" t="s">
        <v>13</v>
      </c>
      <c r="D22" s="7" t="s">
        <v>68</v>
      </c>
      <c r="E22" s="7" t="str">
        <f>VLOOKUP(G22,'Z0000002-508684 BOM triển k hai'!$G$3:$R$42,12,0)</f>
        <v>Vòng bi SB6000ZZ --&gt; đổi sang C-SE6000ZZ</v>
      </c>
      <c r="F22" s="7" t="s">
        <v>7</v>
      </c>
      <c r="G22" s="7" t="s">
        <v>69</v>
      </c>
      <c r="H22" s="7" t="str">
        <f>VLOOKUP(G22,'Z0000002-508684 BOM triển k hai'!$G$3:$H$42,2,0)</f>
        <v>VB C-SE6000ZZ</v>
      </c>
      <c r="I22" s="7">
        <f t="shared" si="0"/>
        <v>4</v>
      </c>
      <c r="J22" s="7">
        <f t="shared" si="1"/>
        <v>24</v>
      </c>
      <c r="K22" s="7"/>
      <c r="L22" s="7" t="s">
        <v>7</v>
      </c>
      <c r="M22" s="7" t="s">
        <v>7</v>
      </c>
      <c r="N22" s="7"/>
      <c r="O22" s="7" t="s">
        <v>7</v>
      </c>
      <c r="P22" s="7" t="s">
        <v>7</v>
      </c>
      <c r="Q22" s="7"/>
      <c r="R22" s="7" t="str">
        <f t="shared" si="2"/>
        <v>Vòng bi SB6000ZZ --&gt; đổi sang C-SE6000ZZ</v>
      </c>
    </row>
    <row r="23" spans="1:18" s="4" customFormat="1" ht="60" hidden="1" customHeight="1" x14ac:dyDescent="0.25">
      <c r="A23" s="3" t="s">
        <v>7</v>
      </c>
      <c r="B23" s="13" t="s">
        <v>406</v>
      </c>
      <c r="C23" s="7" t="s">
        <v>13</v>
      </c>
      <c r="D23" s="7" t="s">
        <v>152</v>
      </c>
      <c r="E23" s="7" t="s">
        <v>492</v>
      </c>
      <c r="F23" s="7" t="s">
        <v>7</v>
      </c>
      <c r="G23" s="7" t="s">
        <v>153</v>
      </c>
      <c r="H23" s="7" t="str">
        <f>H20</f>
        <v>GTAM</v>
      </c>
      <c r="I23" s="7">
        <f t="shared" si="0"/>
        <v>4</v>
      </c>
      <c r="J23" s="7">
        <f t="shared" si="1"/>
        <v>24</v>
      </c>
      <c r="K23" s="7" t="s">
        <v>532</v>
      </c>
      <c r="L23" s="7" t="s">
        <v>7</v>
      </c>
      <c r="M23" s="7" t="s">
        <v>7</v>
      </c>
      <c r="N23" s="7"/>
      <c r="O23" s="7" t="s">
        <v>7</v>
      </c>
      <c r="P23" s="7" t="s">
        <v>7</v>
      </c>
      <c r="Q23" s="7"/>
      <c r="R23" s="7" t="str">
        <f t="shared" si="2"/>
        <v>PB108</v>
      </c>
    </row>
    <row r="24" spans="1:18" s="4" customFormat="1" ht="60" hidden="1" customHeight="1" x14ac:dyDescent="0.25">
      <c r="A24" s="3" t="s">
        <v>7</v>
      </c>
      <c r="B24" s="13" t="s">
        <v>407</v>
      </c>
      <c r="C24" s="7" t="s">
        <v>13</v>
      </c>
      <c r="D24" s="7" t="s">
        <v>154</v>
      </c>
      <c r="E24" s="7" t="s">
        <v>516</v>
      </c>
      <c r="F24" s="7" t="s">
        <v>7</v>
      </c>
      <c r="G24" s="7" t="s">
        <v>155</v>
      </c>
      <c r="H24" s="7" t="s">
        <v>493</v>
      </c>
      <c r="I24" s="7">
        <f t="shared" si="0"/>
        <v>4</v>
      </c>
      <c r="J24" s="7">
        <f t="shared" si="1"/>
        <v>24</v>
      </c>
      <c r="K24" s="7"/>
      <c r="L24" s="7" t="s">
        <v>7</v>
      </c>
      <c r="M24" s="7" t="s">
        <v>7</v>
      </c>
      <c r="N24" s="7"/>
      <c r="O24" s="7" t="s">
        <v>7</v>
      </c>
      <c r="P24" s="7" t="s">
        <v>7</v>
      </c>
      <c r="Q24" s="7"/>
      <c r="R24" s="7" t="str">
        <f t="shared" si="2"/>
        <v xml:space="preserve">belt PU đen, chống tĩnh điện, độ dày 1.5m, bản rộng 20mm, chu vi 650mm (đo mép trong 655mm, chốt căn chỉnh ở giữa) </v>
      </c>
    </row>
    <row r="25" spans="1:18" s="4" customFormat="1" ht="60" hidden="1" customHeight="1" x14ac:dyDescent="0.25">
      <c r="A25" s="3" t="s">
        <v>7</v>
      </c>
      <c r="B25" s="13" t="s">
        <v>408</v>
      </c>
      <c r="C25" s="7" t="s">
        <v>13</v>
      </c>
      <c r="D25" s="7" t="s">
        <v>156</v>
      </c>
      <c r="E25" s="7" t="str">
        <f>E23</f>
        <v>PB108</v>
      </c>
      <c r="F25" s="7" t="s">
        <v>7</v>
      </c>
      <c r="G25" s="7" t="s">
        <v>157</v>
      </c>
      <c r="H25" s="7" t="str">
        <f>H23</f>
        <v>GTAM</v>
      </c>
      <c r="I25" s="7">
        <f t="shared" si="0"/>
        <v>4</v>
      </c>
      <c r="J25" s="7">
        <f t="shared" si="1"/>
        <v>24</v>
      </c>
      <c r="K25" s="7" t="s">
        <v>532</v>
      </c>
      <c r="L25" s="7" t="s">
        <v>7</v>
      </c>
      <c r="M25" s="7" t="s">
        <v>7</v>
      </c>
      <c r="N25" s="7"/>
      <c r="O25" s="7" t="s">
        <v>7</v>
      </c>
      <c r="P25" s="7" t="s">
        <v>7</v>
      </c>
      <c r="Q25" s="7"/>
      <c r="R25" s="7" t="str">
        <f t="shared" si="2"/>
        <v>PB108</v>
      </c>
    </row>
    <row r="26" spans="1:18" s="4" customFormat="1" ht="60" hidden="1" customHeight="1" x14ac:dyDescent="0.25">
      <c r="A26" s="3" t="s">
        <v>7</v>
      </c>
      <c r="B26" s="13" t="s">
        <v>409</v>
      </c>
      <c r="C26" s="7" t="s">
        <v>8</v>
      </c>
      <c r="D26" s="7" t="s">
        <v>158</v>
      </c>
      <c r="E26" s="14" t="str">
        <f>VLOOKUP(G26,'Z0000002-508684 BOM triển k hai'!$G$3:$R$42,12,0)</f>
        <v>HTPA18S5M100-A-N8-FC30.0 đổi sang HTPA18S5M150-A-N8-FC30.0</v>
      </c>
      <c r="F26" s="7" t="s">
        <v>7</v>
      </c>
      <c r="G26" s="7" t="s">
        <v>21</v>
      </c>
      <c r="H26" s="7" t="str">
        <f>VLOOKUP(G26,'Z0000002-508684 BOM triển k hai'!$G$3:$H$42,2,0)</f>
        <v>UP</v>
      </c>
      <c r="I26" s="7">
        <f t="shared" si="0"/>
        <v>2</v>
      </c>
      <c r="J26" s="7">
        <f t="shared" si="1"/>
        <v>12</v>
      </c>
      <c r="K26" s="7"/>
      <c r="L26" s="7" t="s">
        <v>7</v>
      </c>
      <c r="M26" s="7" t="s">
        <v>7</v>
      </c>
      <c r="N26" s="7"/>
      <c r="O26" s="7" t="s">
        <v>7</v>
      </c>
      <c r="P26" s="7" t="s">
        <v>7</v>
      </c>
      <c r="Q26" s="7"/>
      <c r="R26" s="7" t="str">
        <f t="shared" si="2"/>
        <v>HTPA18S5M100-A-N8-FC30.0 đổi sang HTPA18S5M150-A-N8-FC30.0</v>
      </c>
    </row>
    <row r="27" spans="1:18" s="4" customFormat="1" ht="60" hidden="1" customHeight="1" x14ac:dyDescent="0.25">
      <c r="A27" s="3" t="s">
        <v>7</v>
      </c>
      <c r="B27" s="13" t="s">
        <v>410</v>
      </c>
      <c r="C27" s="7" t="s">
        <v>13</v>
      </c>
      <c r="D27" s="7" t="s">
        <v>66</v>
      </c>
      <c r="E27" s="14" t="str">
        <f>VLOOKUP(G27,'Z0000002-508684 BOM triển k hai'!$G$3:$R$42,12,0)</f>
        <v>Rulo</v>
      </c>
      <c r="F27" s="7" t="s">
        <v>7</v>
      </c>
      <c r="G27" s="7" t="s">
        <v>67</v>
      </c>
      <c r="H27" s="7" t="str">
        <f>VLOOKUP(G27,'Z0000002-508684 BOM triển k hai'!$G$3:$H$42,2,0)</f>
        <v>TT</v>
      </c>
      <c r="I27" s="7">
        <f t="shared" si="0"/>
        <v>4</v>
      </c>
      <c r="J27" s="7">
        <f t="shared" si="1"/>
        <v>24</v>
      </c>
      <c r="K27" s="7"/>
      <c r="L27" s="7" t="s">
        <v>7</v>
      </c>
      <c r="M27" s="7" t="s">
        <v>7</v>
      </c>
      <c r="N27" s="7"/>
      <c r="O27" s="7" t="s">
        <v>7</v>
      </c>
      <c r="P27" s="7" t="s">
        <v>7</v>
      </c>
      <c r="Q27" s="7"/>
      <c r="R27" s="7" t="str">
        <f t="shared" si="2"/>
        <v>Rulo</v>
      </c>
    </row>
    <row r="28" spans="1:18" s="4" customFormat="1" ht="60" hidden="1" customHeight="1" x14ac:dyDescent="0.25">
      <c r="A28" s="3" t="s">
        <v>7</v>
      </c>
      <c r="B28" s="13" t="s">
        <v>411</v>
      </c>
      <c r="C28" s="7" t="s">
        <v>8</v>
      </c>
      <c r="D28" s="7" t="s">
        <v>159</v>
      </c>
      <c r="E28" s="7" t="str">
        <f>E20</f>
        <v>AL6061 anode đen</v>
      </c>
      <c r="F28" s="7" t="s">
        <v>7</v>
      </c>
      <c r="G28" s="7" t="s">
        <v>151</v>
      </c>
      <c r="H28" s="7" t="str">
        <f>H23</f>
        <v>GTAM</v>
      </c>
      <c r="I28" s="7">
        <f t="shared" si="0"/>
        <v>2</v>
      </c>
      <c r="J28" s="7">
        <f t="shared" si="1"/>
        <v>12</v>
      </c>
      <c r="K28" s="7" t="s">
        <v>536</v>
      </c>
      <c r="L28" s="7" t="s">
        <v>7</v>
      </c>
      <c r="M28" s="7" t="s">
        <v>7</v>
      </c>
      <c r="N28" s="7"/>
      <c r="O28" s="7" t="s">
        <v>7</v>
      </c>
      <c r="P28" s="7" t="s">
        <v>7</v>
      </c>
      <c r="Q28" s="7"/>
      <c r="R28" s="7" t="str">
        <f t="shared" si="2"/>
        <v>AL6061 anode đen</v>
      </c>
    </row>
    <row r="29" spans="1:18" s="4" customFormat="1" ht="60" hidden="1" customHeight="1" x14ac:dyDescent="0.25">
      <c r="A29" s="3" t="s">
        <v>7</v>
      </c>
      <c r="B29" s="13" t="s">
        <v>412</v>
      </c>
      <c r="C29" s="7" t="s">
        <v>8</v>
      </c>
      <c r="D29" s="7" t="s">
        <v>64</v>
      </c>
      <c r="E29" s="7" t="str">
        <f>VLOOKUP(G29,'Z0000002-508684 BOM triển k hai'!$G$3:$R$42,12,0)</f>
        <v>Trục</v>
      </c>
      <c r="F29" s="7" t="s">
        <v>7</v>
      </c>
      <c r="G29" s="7" t="s">
        <v>65</v>
      </c>
      <c r="H29" s="7" t="str">
        <f>VLOOKUP(G29,'Z0000002-508684 BOM triển k hai'!$G$3:$H$42,2,0)</f>
        <v>TT</v>
      </c>
      <c r="I29" s="7">
        <f t="shared" si="0"/>
        <v>2</v>
      </c>
      <c r="J29" s="7">
        <f t="shared" si="1"/>
        <v>12</v>
      </c>
      <c r="K29" s="7"/>
      <c r="L29" s="7" t="s">
        <v>7</v>
      </c>
      <c r="M29" s="7" t="s">
        <v>7</v>
      </c>
      <c r="N29" s="7"/>
      <c r="O29" s="7" t="s">
        <v>7</v>
      </c>
      <c r="P29" s="7" t="s">
        <v>7</v>
      </c>
      <c r="Q29" s="7"/>
      <c r="R29" s="7" t="str">
        <f t="shared" si="2"/>
        <v>Trục</v>
      </c>
    </row>
    <row r="30" spans="1:18" s="4" customFormat="1" ht="60" hidden="1" customHeight="1" x14ac:dyDescent="0.25">
      <c r="A30" s="3" t="s">
        <v>7</v>
      </c>
      <c r="B30" s="13" t="s">
        <v>413</v>
      </c>
      <c r="C30" s="7" t="s">
        <v>8</v>
      </c>
      <c r="D30" s="7" t="s">
        <v>160</v>
      </c>
      <c r="E30" s="7" t="str">
        <f>E28</f>
        <v>AL6061 anode đen</v>
      </c>
      <c r="F30" s="7" t="s">
        <v>7</v>
      </c>
      <c r="G30" s="7" t="s">
        <v>161</v>
      </c>
      <c r="H30" s="7" t="str">
        <f>H28</f>
        <v>GTAM</v>
      </c>
      <c r="I30" s="7">
        <f t="shared" si="0"/>
        <v>2</v>
      </c>
      <c r="J30" s="7">
        <f t="shared" si="1"/>
        <v>12</v>
      </c>
      <c r="K30" s="7" t="s">
        <v>536</v>
      </c>
      <c r="L30" s="7" t="s">
        <v>7</v>
      </c>
      <c r="M30" s="7" t="s">
        <v>7</v>
      </c>
      <c r="N30" s="7"/>
      <c r="O30" s="7" t="s">
        <v>7</v>
      </c>
      <c r="P30" s="7" t="s">
        <v>7</v>
      </c>
      <c r="Q30" s="7"/>
      <c r="R30" s="7" t="str">
        <f t="shared" si="2"/>
        <v>AL6061 anode đen</v>
      </c>
    </row>
    <row r="31" spans="1:18" s="4" customFormat="1" ht="60" hidden="1" customHeight="1" x14ac:dyDescent="0.25">
      <c r="A31" s="3" t="s">
        <v>7</v>
      </c>
      <c r="B31" s="13" t="s">
        <v>414</v>
      </c>
      <c r="C31" s="7" t="s">
        <v>8</v>
      </c>
      <c r="D31" s="7" t="s">
        <v>38</v>
      </c>
      <c r="E31" s="7" t="str">
        <f>VLOOKUP(G31,'Z0000002-508684 BOM triển k hai'!$G$3:$R$42,12,0)</f>
        <v>S6I06GX-12CE và bộ đk tốc độ SUA06IX-V12</v>
      </c>
      <c r="F31" s="7" t="s">
        <v>7</v>
      </c>
      <c r="G31" s="7" t="s">
        <v>39</v>
      </c>
      <c r="H31" s="7" t="str">
        <f>VLOOKUP(G31,'Z0000002-508684 BOM triển k hai'!$G$3:$H$42,2,0)</f>
        <v>SPG</v>
      </c>
      <c r="I31" s="7">
        <f t="shared" si="0"/>
        <v>2</v>
      </c>
      <c r="J31" s="7">
        <f t="shared" si="1"/>
        <v>12</v>
      </c>
      <c r="K31" s="7" t="str">
        <f>'Z0000002-508703 BOM triển khai'!K24</f>
        <v>NG báo đã nhận 27 set, đủ lô 7CV</v>
      </c>
      <c r="L31" s="7" t="s">
        <v>7</v>
      </c>
      <c r="M31" s="7" t="s">
        <v>7</v>
      </c>
      <c r="N31" s="7"/>
      <c r="O31" s="7" t="s">
        <v>7</v>
      </c>
      <c r="P31" s="7" t="s">
        <v>7</v>
      </c>
      <c r="Q31" s="7"/>
      <c r="R31" s="7" t="str">
        <f t="shared" si="2"/>
        <v>S6I06GX-12CE và bộ đk tốc độ SUA06IX-V12</v>
      </c>
    </row>
    <row r="32" spans="1:18" s="4" customFormat="1" ht="60" hidden="1" customHeight="1" x14ac:dyDescent="0.25">
      <c r="A32" s="3" t="s">
        <v>7</v>
      </c>
      <c r="B32" s="13" t="s">
        <v>415</v>
      </c>
      <c r="C32" s="7" t="s">
        <v>8</v>
      </c>
      <c r="D32" s="7" t="s">
        <v>40</v>
      </c>
      <c r="E32" s="7" t="str">
        <f>VLOOKUP(G32,'Z0000002-508684 BOM triển k hai'!$G$3:$R$42,12,0)</f>
        <v>hộp số S6KA15B</v>
      </c>
      <c r="F32" s="7" t="s">
        <v>7</v>
      </c>
      <c r="G32" s="7" t="s">
        <v>41</v>
      </c>
      <c r="H32" s="7" t="str">
        <f>VLOOKUP(G32,'Z0000002-508684 BOM triển k hai'!$G$3:$H$42,2,0)</f>
        <v>SPG</v>
      </c>
      <c r="I32" s="7">
        <f t="shared" si="0"/>
        <v>2</v>
      </c>
      <c r="J32" s="7">
        <f t="shared" si="1"/>
        <v>12</v>
      </c>
      <c r="K32" s="7" t="str">
        <f>K31</f>
        <v>NG báo đã nhận 27 set, đủ lô 7CV</v>
      </c>
      <c r="L32" s="7" t="s">
        <v>7</v>
      </c>
      <c r="M32" s="7" t="s">
        <v>7</v>
      </c>
      <c r="N32" s="7"/>
      <c r="O32" s="7" t="s">
        <v>7</v>
      </c>
      <c r="P32" s="7" t="s">
        <v>7</v>
      </c>
      <c r="Q32" s="7"/>
      <c r="R32" s="7" t="str">
        <f t="shared" si="2"/>
        <v>hộp số S6KA15B</v>
      </c>
    </row>
    <row r="34" spans="8:11" x14ac:dyDescent="0.25">
      <c r="H34" s="15" t="str">
        <f>'Z0000002-508703 BOM triển khai'!H43</f>
        <v>Belt</v>
      </c>
      <c r="I34" s="15" t="str">
        <f>'Z0000002-508703 BOM triển khai'!I43</f>
        <v>đã nhận đủ hàng 9/4</v>
      </c>
      <c r="J34" s="15" t="str">
        <f>'Z0000002-508703 BOM triển khai'!J43</f>
        <v>đã đặt hàng 10/4, hẹn 25/4 giao 50%, 5/5 giao nốt</v>
      </c>
      <c r="K34" s="15">
        <f>'Z0000002-508703 BOM triển khai'!K43</f>
        <v>0</v>
      </c>
    </row>
    <row r="35" spans="8:11" x14ac:dyDescent="0.25">
      <c r="H35" s="15" t="str">
        <f>'Z0000002-508703 BOM triển khai'!H44</f>
        <v>CG</v>
      </c>
      <c r="I35" s="15" t="str">
        <f>'Z0000002-508703 BOM triển khai'!I44</f>
        <v>đã xong 9/4</v>
      </c>
      <c r="J35" s="15">
        <f>'Z0000002-508703 BOM triển khai'!J44</f>
        <v>0</v>
      </c>
      <c r="K35" s="15">
        <f>'Z0000002-508703 BOM triển khai'!K44</f>
        <v>0</v>
      </c>
    </row>
    <row r="36" spans="8:11" x14ac:dyDescent="0.25">
      <c r="H36" s="15" t="str">
        <f>'Z0000002-508703 BOM triển khai'!H45</f>
        <v>Chốt cài</v>
      </c>
      <c r="I36" s="15" t="str">
        <f>'Z0000002-508703 BOM triển khai'!I45</f>
        <v>đã tồn kho</v>
      </c>
      <c r="J36" s="15" t="str">
        <f>'Z0000002-508703 BOM triển khai'!J45</f>
        <v>đã tồn kho</v>
      </c>
      <c r="K36" s="15">
        <f>'Z0000002-508703 BOM triển khai'!K45</f>
        <v>0</v>
      </c>
    </row>
    <row r="37" spans="8:11" x14ac:dyDescent="0.25">
      <c r="H37" s="15" t="str">
        <f>'Z0000002-508703 BOM triển khai'!H46</f>
        <v>GTAM</v>
      </c>
      <c r="I37" s="15" t="str">
        <f>'Z0000002-508703 BOM triển khai'!I46</f>
        <v>9/4 đã xong</v>
      </c>
      <c r="J37" s="15">
        <f>'Z0000002-508703 BOM triển khai'!J46</f>
        <v>0</v>
      </c>
      <c r="K37" s="15">
        <f>'Z0000002-508703 BOM triển khai'!K46</f>
        <v>0</v>
      </c>
    </row>
    <row r="38" spans="8:11" x14ac:dyDescent="0.25">
      <c r="H38" s="15" t="str">
        <f>'Z0000002-508703 BOM triển khai'!H47</f>
        <v>MI</v>
      </c>
      <c r="I38" s="15" t="str">
        <f>'Z0000002-508703 BOM triển khai'!I47</f>
        <v>đã chốt đặt, dự kiến về trước 10/4</v>
      </c>
      <c r="J38" s="15" t="str">
        <f>'Z0000002-508703 BOM triển khai'!J47</f>
        <v xml:space="preserve">đã nhận đủ 13/4, </v>
      </c>
      <c r="K38" s="15">
        <f>'Z0000002-508703 BOM triển khai'!K47</f>
        <v>0</v>
      </c>
    </row>
    <row r="39" spans="8:11" x14ac:dyDescent="0.25">
      <c r="H39" s="15" t="str">
        <f>'Z0000002-508703 BOM triển khai'!H48</f>
        <v>TT</v>
      </c>
      <c r="I39" s="15" t="str">
        <f>'Z0000002-508703 BOM triển khai'!I48</f>
        <v>đã giao lô đầu 30 set</v>
      </c>
      <c r="J39" s="15" t="str">
        <f>'Z0000002-508703 BOM triển khai'!J48</f>
        <v>9/4 nhận 159 bộ, thiếu rulo chủ động giao sau</v>
      </c>
      <c r="K39" s="15">
        <f>'Z0000002-508703 BOM triển khai'!K48</f>
        <v>0</v>
      </c>
    </row>
    <row r="40" spans="8:11" x14ac:dyDescent="0.25">
      <c r="H40" s="15" t="str">
        <f>'Z0000002-508703 BOM triển khai'!H49</f>
        <v>Phanh trục</v>
      </c>
      <c r="I40" s="15" t="str">
        <f>'Z0000002-508703 BOM triển khai'!I49</f>
        <v>đã tồn kho sẵn</v>
      </c>
      <c r="J40" s="15" t="str">
        <f>'Z0000002-508703 BOM triển khai'!J49</f>
        <v>đã tồn kho sẵn</v>
      </c>
      <c r="K40" s="15">
        <f>'Z0000002-508703 BOM triển khai'!K49</f>
        <v>0</v>
      </c>
    </row>
    <row r="41" spans="8:11" x14ac:dyDescent="0.25">
      <c r="H41" s="15" t="str">
        <f>'Z0000002-508703 BOM triển khai'!H50</f>
        <v>SPG</v>
      </c>
      <c r="I41" s="15" t="str">
        <f>'Z0000002-508703 BOM triển khai'!I50</f>
        <v>NG báo đã nhận 27 set, đủ lô 7CV</v>
      </c>
      <c r="J41" s="15">
        <f>'Z0000002-508703 BOM triển khai'!J50</f>
        <v>0</v>
      </c>
      <c r="K41" s="15">
        <f>'Z0000002-508703 BOM triển khai'!K50</f>
        <v>0</v>
      </c>
    </row>
    <row r="42" spans="8:11" x14ac:dyDescent="0.25">
      <c r="H42" s="15" t="str">
        <f>'Z0000002-508703 BOM triển khai'!H51</f>
        <v>UP</v>
      </c>
      <c r="I42" s="15" t="str">
        <f>'Z0000002-508703 BOM triển khai'!I51</f>
        <v>đã chốt đặt, dự kiến về trước 10/4</v>
      </c>
      <c r="J42" s="15">
        <f>'Z0000002-508703 BOM triển khai'!J51</f>
        <v>0</v>
      </c>
      <c r="K42" s="15">
        <f>'Z0000002-508703 BOM triển khai'!K51</f>
        <v>0</v>
      </c>
    </row>
    <row r="43" spans="8:11" x14ac:dyDescent="0.25">
      <c r="H43" s="15" t="str">
        <f>'Z0000002-508703 BOM triển khai'!H52</f>
        <v>VB C-SE688ZZ</v>
      </c>
      <c r="I43" s="15" t="str">
        <f>'Z0000002-508703 BOM triển khai'!I52</f>
        <v>đặt tổng 432, đã về hàng 9/4</v>
      </c>
      <c r="J43" s="15" t="str">
        <f>'Z0000002-508703 BOM triển khai'!J52</f>
        <v>Tổng lô đặt HC 2280, 14/4 về trc 630</v>
      </c>
      <c r="K43" s="15">
        <f>'Z0000002-508703 BOM triển khai'!K52</f>
        <v>0</v>
      </c>
    </row>
    <row r="44" spans="8:11" x14ac:dyDescent="0.25">
      <c r="H44" s="15" t="str">
        <f>'Z0000002-508703 BOM triển khai'!H53</f>
        <v>VB C-SE6000ZZ</v>
      </c>
      <c r="I44" s="15" t="str">
        <f>'Z0000002-508703 BOM triển khai'!I53</f>
        <v>đã nhận hàng 27/3</v>
      </c>
      <c r="J44" s="15" t="str">
        <f>'Z0000002-508703 BOM triển khai'!J53</f>
        <v>tổng lô 324, đã về đủ 13/4</v>
      </c>
      <c r="K44" s="15"/>
    </row>
    <row r="45" spans="8:11" x14ac:dyDescent="0.25">
      <c r="H45" s="15">
        <f>'Z0000002-508703 BOM triển khai'!H54</f>
        <v>0</v>
      </c>
      <c r="I45" s="15">
        <f>'Z0000002-508703 BOM triển khai'!I54</f>
        <v>0</v>
      </c>
      <c r="J45" s="15">
        <f>'Z0000002-508703 BOM triển khai'!J54</f>
        <v>0</v>
      </c>
      <c r="K45" s="15">
        <f>'Z0000002-508703 BOM triển khai'!K54</f>
        <v>0</v>
      </c>
    </row>
    <row r="46" spans="8:11" x14ac:dyDescent="0.25">
      <c r="H46" s="15"/>
      <c r="I46" s="15"/>
      <c r="J46" s="15"/>
      <c r="K46" s="15"/>
    </row>
    <row r="47" spans="8:11" x14ac:dyDescent="0.25">
      <c r="H47" s="15"/>
      <c r="I47" s="15"/>
      <c r="J47" s="15"/>
      <c r="K47" s="15"/>
    </row>
    <row r="48" spans="8:11" x14ac:dyDescent="0.25">
      <c r="H48" s="15"/>
      <c r="I48" s="15"/>
      <c r="J48" s="15"/>
      <c r="K48" s="15"/>
    </row>
  </sheetData>
  <autoFilter ref="A2:I32" xr:uid="{EE02A584-6E4C-43A1-8605-5DDF4DFEFA9F}">
    <filterColumn colId="7">
      <filters>
        <filter val="MI"/>
      </filters>
    </filterColumn>
  </autoFilter>
  <phoneticPr fontId="9" type="noConversion"/>
  <conditionalFormatting sqref="G1:G1048576">
    <cfRule type="duplicateValues" dxfId="1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2C65-B095-4BEE-B319-7A445BCB60FA}">
  <sheetPr filterMode="1"/>
  <dimension ref="A1:R54"/>
  <sheetViews>
    <sheetView workbookViewId="0">
      <selection activeCell="D28" sqref="D28"/>
    </sheetView>
  </sheetViews>
  <sheetFormatPr defaultRowHeight="15" x14ac:dyDescent="0.25"/>
  <cols>
    <col min="1" max="1" width="16.42578125" customWidth="1"/>
    <col min="2" max="2" width="12" customWidth="1"/>
    <col min="3" max="3" width="9.7109375" customWidth="1"/>
    <col min="4" max="4" width="49.5703125" customWidth="1"/>
    <col min="5" max="5" width="68.140625" customWidth="1"/>
    <col min="6" max="6" width="15.85546875" customWidth="1"/>
    <col min="7" max="7" width="19.7109375" customWidth="1"/>
    <col min="8" max="8" width="25.7109375" customWidth="1"/>
    <col min="9" max="18" width="19.42578125" customWidth="1"/>
  </cols>
  <sheetData>
    <row r="1" spans="1:18" ht="27" thickBot="1" x14ac:dyDescent="0.45">
      <c r="A1" s="1" t="s">
        <v>163</v>
      </c>
      <c r="B1" s="2"/>
      <c r="C1" s="2"/>
      <c r="D1" s="2"/>
      <c r="H1" s="10" t="s">
        <v>234</v>
      </c>
      <c r="I1" s="10">
        <v>9</v>
      </c>
      <c r="J1" s="10">
        <f>'[1]ducpt trien khai'!$I$32</f>
        <v>54</v>
      </c>
    </row>
    <row r="2" spans="1:18" s="6" customFormat="1" ht="16.5" thickTop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1" t="s">
        <v>233</v>
      </c>
      <c r="I2" s="12" t="s">
        <v>234</v>
      </c>
      <c r="J2" s="12"/>
      <c r="K2" s="9" t="s">
        <v>520</v>
      </c>
      <c r="L2" s="5"/>
      <c r="M2" s="5"/>
      <c r="N2" s="5"/>
      <c r="O2" s="5"/>
      <c r="P2" s="5"/>
      <c r="Q2" s="5"/>
      <c r="R2" s="5"/>
    </row>
    <row r="3" spans="1:18" s="4" customFormat="1" ht="51.6" hidden="1" customHeight="1" x14ac:dyDescent="0.25">
      <c r="A3" s="3" t="s">
        <v>7</v>
      </c>
      <c r="B3" s="13" t="s">
        <v>416</v>
      </c>
      <c r="C3" s="7" t="s">
        <v>8</v>
      </c>
      <c r="D3" s="7" t="s">
        <v>164</v>
      </c>
      <c r="E3" s="14" t="s">
        <v>486</v>
      </c>
      <c r="F3" s="7" t="s">
        <v>7</v>
      </c>
      <c r="G3" s="7" t="s">
        <v>10</v>
      </c>
      <c r="H3" s="7" t="s">
        <v>483</v>
      </c>
      <c r="I3" s="7">
        <f>$I$1*C3</f>
        <v>9</v>
      </c>
      <c r="J3" s="7">
        <f>$J$1*C3</f>
        <v>54</v>
      </c>
      <c r="K3" s="7"/>
      <c r="L3" s="7" t="s">
        <v>7</v>
      </c>
      <c r="M3" s="7" t="s">
        <v>7</v>
      </c>
      <c r="N3" s="7"/>
      <c r="O3" s="7" t="s">
        <v>7</v>
      </c>
      <c r="P3" s="7" t="s">
        <v>7</v>
      </c>
      <c r="Q3" s="7"/>
      <c r="R3" s="7" t="s">
        <v>7</v>
      </c>
    </row>
    <row r="4" spans="1:18" s="4" customFormat="1" ht="51.6" hidden="1" customHeight="1" x14ac:dyDescent="0.25">
      <c r="A4" s="3" t="s">
        <v>7</v>
      </c>
      <c r="B4" s="13" t="s">
        <v>417</v>
      </c>
      <c r="C4" s="7" t="s">
        <v>57</v>
      </c>
      <c r="D4" s="7" t="s">
        <v>165</v>
      </c>
      <c r="E4" s="7" t="str">
        <f>VLOOKUP(G4,'Z0000002-508704 BOM triển khai'!$G$3:$R$32,12,0)</f>
        <v>Phanh trục STWN8</v>
      </c>
      <c r="F4" s="7" t="s">
        <v>7</v>
      </c>
      <c r="G4" s="7" t="s">
        <v>59</v>
      </c>
      <c r="H4" s="7" t="str">
        <f>VLOOKUP(G4,'Z0000002-508704 BOM triển khai'!$G$3:$H$32,2,0)</f>
        <v>Phanh trục</v>
      </c>
      <c r="I4" s="7">
        <f t="shared" ref="I4:I37" si="0">$I$1*C4</f>
        <v>72</v>
      </c>
      <c r="J4" s="7">
        <f t="shared" ref="J4:J37" si="1">$J$1*C4</f>
        <v>432</v>
      </c>
      <c r="K4" s="7"/>
      <c r="L4" s="7" t="s">
        <v>7</v>
      </c>
      <c r="M4" s="7" t="s">
        <v>7</v>
      </c>
      <c r="N4" s="7"/>
      <c r="O4" s="7" t="s">
        <v>7</v>
      </c>
      <c r="P4" s="7" t="s">
        <v>7</v>
      </c>
      <c r="Q4" s="7"/>
      <c r="R4" s="7" t="s">
        <v>7</v>
      </c>
    </row>
    <row r="5" spans="1:18" s="4" customFormat="1" ht="51.6" hidden="1" customHeight="1" x14ac:dyDescent="0.25">
      <c r="A5" s="3" t="s">
        <v>7</v>
      </c>
      <c r="B5" s="13" t="s">
        <v>418</v>
      </c>
      <c r="C5" s="7" t="s">
        <v>13</v>
      </c>
      <c r="D5" s="7" t="s">
        <v>166</v>
      </c>
      <c r="E5" s="7" t="str">
        <f>VLOOKUP(G5,'Z0000002-508704 BOM triển khai'!$G$3:$R$32,12,0)</f>
        <v>phanh trục STWN10</v>
      </c>
      <c r="F5" s="7" t="s">
        <v>7</v>
      </c>
      <c r="G5" s="7" t="s">
        <v>71</v>
      </c>
      <c r="H5" s="7" t="str">
        <f>VLOOKUP(G5,'Z0000002-508704 BOM triển khai'!$G$3:$H$32,2,0)</f>
        <v>Phanh trục</v>
      </c>
      <c r="I5" s="7">
        <f t="shared" si="0"/>
        <v>18</v>
      </c>
      <c r="J5" s="7">
        <f t="shared" si="1"/>
        <v>108</v>
      </c>
      <c r="K5" s="7"/>
      <c r="L5" s="7" t="s">
        <v>7</v>
      </c>
      <c r="M5" s="7" t="s">
        <v>7</v>
      </c>
      <c r="N5" s="7"/>
      <c r="O5" s="7" t="s">
        <v>7</v>
      </c>
      <c r="P5" s="7" t="s">
        <v>7</v>
      </c>
      <c r="Q5" s="7"/>
      <c r="R5" s="7" t="s">
        <v>7</v>
      </c>
    </row>
    <row r="6" spans="1:18" s="4" customFormat="1" ht="51.6" hidden="1" customHeight="1" x14ac:dyDescent="0.25">
      <c r="A6" s="3" t="s">
        <v>7</v>
      </c>
      <c r="B6" s="13" t="s">
        <v>419</v>
      </c>
      <c r="C6" s="7" t="s">
        <v>52</v>
      </c>
      <c r="D6" s="7" t="s">
        <v>167</v>
      </c>
      <c r="E6" s="7" t="str">
        <f>VLOOKUP(G6,'Z0000002-508704 BOM triển khai'!$G$3:$R$32,12,0)</f>
        <v>Vòng bi SB688ZZ --&gt; đổi sang C-SE688ZZ</v>
      </c>
      <c r="F6" s="7" t="s">
        <v>7</v>
      </c>
      <c r="G6" s="7" t="s">
        <v>54</v>
      </c>
      <c r="H6" s="7" t="str">
        <f>VLOOKUP(G6,'Z0000002-508704 BOM triển khai'!$G$3:$H$32,2,0)</f>
        <v>VB C-SE688ZZ</v>
      </c>
      <c r="I6" s="7">
        <f t="shared" si="0"/>
        <v>144</v>
      </c>
      <c r="J6" s="7">
        <f t="shared" si="1"/>
        <v>864</v>
      </c>
      <c r="K6" s="7"/>
      <c r="L6" s="7" t="s">
        <v>7</v>
      </c>
      <c r="M6" s="7" t="s">
        <v>7</v>
      </c>
      <c r="N6" s="7"/>
      <c r="O6" s="7" t="s">
        <v>7</v>
      </c>
      <c r="P6" s="7" t="s">
        <v>7</v>
      </c>
      <c r="Q6" s="7"/>
      <c r="R6" s="7" t="s">
        <v>7</v>
      </c>
    </row>
    <row r="7" spans="1:18" s="4" customFormat="1" ht="51.6" hidden="1" customHeight="1" x14ac:dyDescent="0.25">
      <c r="A7" s="3" t="s">
        <v>7</v>
      </c>
      <c r="B7" s="13" t="s">
        <v>420</v>
      </c>
      <c r="C7" s="7" t="s">
        <v>13</v>
      </c>
      <c r="D7" s="7" t="s">
        <v>168</v>
      </c>
      <c r="E7" s="7" t="str">
        <f>VLOOKUP(G7,'Z0000002-508704 BOM triển khai'!$G$3:$R$32,12,0)</f>
        <v>Vòng bi SB6000ZZ --&gt; đổi sang C-SE6000ZZ</v>
      </c>
      <c r="F7" s="7" t="s">
        <v>7</v>
      </c>
      <c r="G7" s="7" t="s">
        <v>69</v>
      </c>
      <c r="H7" s="7" t="str">
        <f>VLOOKUP(G7,'Z0000002-508704 BOM triển khai'!$G$3:$H$32,2,0)</f>
        <v>VB C-SE6000ZZ</v>
      </c>
      <c r="I7" s="7">
        <f t="shared" si="0"/>
        <v>18</v>
      </c>
      <c r="J7" s="7">
        <f t="shared" si="1"/>
        <v>108</v>
      </c>
      <c r="K7" s="7"/>
      <c r="L7" s="7" t="s">
        <v>7</v>
      </c>
      <c r="M7" s="7" t="s">
        <v>7</v>
      </c>
      <c r="N7" s="7"/>
      <c r="O7" s="7" t="s">
        <v>7</v>
      </c>
      <c r="P7" s="7" t="s">
        <v>7</v>
      </c>
      <c r="Q7" s="7"/>
      <c r="R7" s="7" t="s">
        <v>7</v>
      </c>
    </row>
    <row r="8" spans="1:18" s="4" customFormat="1" ht="51.6" hidden="1" customHeight="1" x14ac:dyDescent="0.25">
      <c r="A8" s="3" t="s">
        <v>7</v>
      </c>
      <c r="B8" s="13" t="s">
        <v>421</v>
      </c>
      <c r="C8" s="7" t="s">
        <v>8</v>
      </c>
      <c r="D8" s="7" t="s">
        <v>169</v>
      </c>
      <c r="E8" s="7" t="str">
        <f>VLOOKUP(G8,'Z0000002-508704 BOM triển khai'!$G$3:$R$32,12,0)</f>
        <v>HTPA18S5M100-B-N10-FC30.0 đổi sang HTPA18S5M150-B-N10-FC30.0</v>
      </c>
      <c r="F8" s="7" t="s">
        <v>7</v>
      </c>
      <c r="G8" s="7" t="s">
        <v>73</v>
      </c>
      <c r="H8" s="7" t="str">
        <f>VLOOKUP(G8,'Z0000002-508704 BOM triển khai'!$G$3:$H$32,2,0)</f>
        <v>UP</v>
      </c>
      <c r="I8" s="7">
        <f t="shared" si="0"/>
        <v>9</v>
      </c>
      <c r="J8" s="7">
        <f t="shared" si="1"/>
        <v>54</v>
      </c>
      <c r="K8" s="7"/>
      <c r="L8" s="7" t="s">
        <v>7</v>
      </c>
      <c r="M8" s="7" t="s">
        <v>7</v>
      </c>
      <c r="N8" s="7"/>
      <c r="O8" s="7" t="s">
        <v>7</v>
      </c>
      <c r="P8" s="7" t="s">
        <v>7</v>
      </c>
      <c r="Q8" s="7"/>
      <c r="R8" s="7" t="s">
        <v>7</v>
      </c>
    </row>
    <row r="9" spans="1:18" s="4" customFormat="1" ht="51.6" hidden="1" customHeight="1" x14ac:dyDescent="0.25">
      <c r="A9" s="3" t="s">
        <v>7</v>
      </c>
      <c r="B9" s="13" t="s">
        <v>422</v>
      </c>
      <c r="C9" s="7" t="s">
        <v>8</v>
      </c>
      <c r="D9" s="7" t="s">
        <v>170</v>
      </c>
      <c r="E9" s="7" t="str">
        <f>VLOOKUP(G9,'Z0000002-508704 BOM triển khai'!$G$3:$R$32,12,0)</f>
        <v>HTPA18S5M100-A-N8-FC30.0 đổi sang HTPA18S5M150-A-N8-FC30.0</v>
      </c>
      <c r="F9" s="7" t="s">
        <v>7</v>
      </c>
      <c r="G9" s="7" t="s">
        <v>21</v>
      </c>
      <c r="H9" s="7" t="str">
        <f>VLOOKUP(G9,'Z0000002-508704 BOM triển khai'!$G$3:$H$32,2,0)</f>
        <v>UP</v>
      </c>
      <c r="I9" s="7">
        <f t="shared" si="0"/>
        <v>9</v>
      </c>
      <c r="J9" s="7">
        <f t="shared" si="1"/>
        <v>54</v>
      </c>
      <c r="K9" s="7"/>
      <c r="L9" s="7" t="s">
        <v>7</v>
      </c>
      <c r="M9" s="7" t="s">
        <v>7</v>
      </c>
      <c r="N9" s="7"/>
      <c r="O9" s="7" t="s">
        <v>7</v>
      </c>
      <c r="P9" s="7" t="s">
        <v>7</v>
      </c>
      <c r="Q9" s="7"/>
      <c r="R9" s="7" t="s">
        <v>7</v>
      </c>
    </row>
    <row r="10" spans="1:18" s="4" customFormat="1" ht="51.6" hidden="1" customHeight="1" x14ac:dyDescent="0.25">
      <c r="A10" s="3" t="s">
        <v>7</v>
      </c>
      <c r="B10" s="13" t="s">
        <v>423</v>
      </c>
      <c r="C10" s="7" t="s">
        <v>13</v>
      </c>
      <c r="D10" s="7" t="s">
        <v>171</v>
      </c>
      <c r="E10" s="7" t="str">
        <f>E11</f>
        <v>AL6061 anode đen</v>
      </c>
      <c r="F10" s="7" t="s">
        <v>7</v>
      </c>
      <c r="G10" s="7" t="s">
        <v>172</v>
      </c>
      <c r="H10" s="7" t="str">
        <f>H11</f>
        <v>GTAM</v>
      </c>
      <c r="I10" s="7">
        <f t="shared" si="0"/>
        <v>18</v>
      </c>
      <c r="J10" s="7">
        <f t="shared" si="1"/>
        <v>108</v>
      </c>
      <c r="K10" s="7" t="s">
        <v>536</v>
      </c>
      <c r="L10" s="7" t="s">
        <v>7</v>
      </c>
      <c r="M10" s="7" t="s">
        <v>7</v>
      </c>
      <c r="N10" s="7"/>
      <c r="O10" s="7" t="s">
        <v>7</v>
      </c>
      <c r="P10" s="7" t="s">
        <v>7</v>
      </c>
      <c r="Q10" s="7"/>
      <c r="R10" s="7" t="s">
        <v>7</v>
      </c>
    </row>
    <row r="11" spans="1:18" s="4" customFormat="1" ht="51.6" hidden="1" customHeight="1" x14ac:dyDescent="0.25">
      <c r="A11" s="3" t="s">
        <v>7</v>
      </c>
      <c r="B11" s="13" t="s">
        <v>424</v>
      </c>
      <c r="C11" s="7" t="s">
        <v>13</v>
      </c>
      <c r="D11" s="7" t="s">
        <v>173</v>
      </c>
      <c r="E11" s="7" t="str">
        <f>VLOOKUP(G11,'Z0000002-508704 BOM triển khai'!$G$3:$R$32,12,0)</f>
        <v>AL6061 anode đen</v>
      </c>
      <c r="F11" s="7" t="s">
        <v>7</v>
      </c>
      <c r="G11" s="7" t="s">
        <v>37</v>
      </c>
      <c r="H11" s="7" t="str">
        <f>VLOOKUP(G11,'Z0000002-508704 BOM triển khai'!$G$3:$H$32,2,0)</f>
        <v>GTAM</v>
      </c>
      <c r="I11" s="7">
        <f t="shared" si="0"/>
        <v>18</v>
      </c>
      <c r="J11" s="7">
        <f t="shared" si="1"/>
        <v>108</v>
      </c>
      <c r="K11" s="7" t="s">
        <v>536</v>
      </c>
      <c r="L11" s="7" t="s">
        <v>7</v>
      </c>
      <c r="M11" s="7" t="s">
        <v>7</v>
      </c>
      <c r="N11" s="7"/>
      <c r="O11" s="7" t="s">
        <v>7</v>
      </c>
      <c r="P11" s="7" t="s">
        <v>7</v>
      </c>
      <c r="Q11" s="7"/>
      <c r="R11" s="7" t="s">
        <v>7</v>
      </c>
    </row>
    <row r="12" spans="1:18" s="4" customFormat="1" ht="51.6" hidden="1" customHeight="1" x14ac:dyDescent="0.25">
      <c r="A12" s="3" t="s">
        <v>7</v>
      </c>
      <c r="B12" s="13" t="s">
        <v>425</v>
      </c>
      <c r="C12" s="7" t="s">
        <v>49</v>
      </c>
      <c r="D12" s="7" t="s">
        <v>174</v>
      </c>
      <c r="E12" s="7" t="str">
        <f>VLOOKUP(G12,'Z0000002-508704 BOM triển khai'!$G$3:$R$32,12,0)</f>
        <v>SUS304, điện hóa</v>
      </c>
      <c r="F12" s="7" t="s">
        <v>7</v>
      </c>
      <c r="G12" s="7" t="s">
        <v>63</v>
      </c>
      <c r="H12" s="7" t="str">
        <f>VLOOKUP(G12,'Z0000002-508704 BOM triển khai'!$G$3:$H$32,2,0)</f>
        <v>TT</v>
      </c>
      <c r="I12" s="7">
        <f t="shared" si="0"/>
        <v>36</v>
      </c>
      <c r="J12" s="7">
        <f t="shared" si="1"/>
        <v>216</v>
      </c>
      <c r="K12" s="7"/>
      <c r="L12" s="7" t="s">
        <v>7</v>
      </c>
      <c r="M12" s="7" t="s">
        <v>7</v>
      </c>
      <c r="N12" s="7"/>
      <c r="O12" s="7" t="s">
        <v>7</v>
      </c>
      <c r="P12" s="7" t="s">
        <v>7</v>
      </c>
      <c r="Q12" s="7"/>
      <c r="R12" s="7" t="s">
        <v>7</v>
      </c>
    </row>
    <row r="13" spans="1:18" s="4" customFormat="1" ht="51.6" hidden="1" customHeight="1" x14ac:dyDescent="0.25">
      <c r="A13" s="3" t="s">
        <v>7</v>
      </c>
      <c r="B13" s="13" t="s">
        <v>426</v>
      </c>
      <c r="C13" s="7" t="s">
        <v>49</v>
      </c>
      <c r="D13" s="7" t="s">
        <v>175</v>
      </c>
      <c r="E13" s="7" t="str">
        <f>VLOOKUP(G13,'Z0000002-508704 BOM triển khai'!$G$3:$R$32,12,0)</f>
        <v>Rulo</v>
      </c>
      <c r="F13" s="7" t="s">
        <v>7</v>
      </c>
      <c r="G13" s="7" t="s">
        <v>61</v>
      </c>
      <c r="H13" s="7" t="str">
        <f>VLOOKUP(G13,'Z0000002-508704 BOM triển khai'!$G$3:$H$32,2,0)</f>
        <v>TT</v>
      </c>
      <c r="I13" s="7">
        <f t="shared" si="0"/>
        <v>36</v>
      </c>
      <c r="J13" s="7">
        <f t="shared" si="1"/>
        <v>216</v>
      </c>
      <c r="K13" s="7"/>
      <c r="L13" s="7" t="s">
        <v>7</v>
      </c>
      <c r="M13" s="7" t="s">
        <v>7</v>
      </c>
      <c r="N13" s="7"/>
      <c r="O13" s="7" t="s">
        <v>7</v>
      </c>
      <c r="P13" s="7" t="s">
        <v>7</v>
      </c>
      <c r="Q13" s="7"/>
      <c r="R13" s="7" t="s">
        <v>7</v>
      </c>
    </row>
    <row r="14" spans="1:18" s="4" customFormat="1" ht="51.6" hidden="1" customHeight="1" x14ac:dyDescent="0.25">
      <c r="A14" s="3" t="s">
        <v>7</v>
      </c>
      <c r="B14" s="13" t="s">
        <v>427</v>
      </c>
      <c r="C14" s="7" t="s">
        <v>8</v>
      </c>
      <c r="D14" s="7" t="s">
        <v>176</v>
      </c>
      <c r="E14" s="7" t="str">
        <f>VLOOKUP(G14,'Z0000002-508704 BOM triển khai'!$G$3:$R$32,12,0)</f>
        <v>Rulo</v>
      </c>
      <c r="F14" s="7" t="s">
        <v>7</v>
      </c>
      <c r="G14" s="7" t="s">
        <v>67</v>
      </c>
      <c r="H14" s="7" t="str">
        <f>VLOOKUP(G14,'Z0000002-508704 BOM triển khai'!$G$3:$H$32,2,0)</f>
        <v>TT</v>
      </c>
      <c r="I14" s="7">
        <f t="shared" si="0"/>
        <v>9</v>
      </c>
      <c r="J14" s="7">
        <f t="shared" si="1"/>
        <v>54</v>
      </c>
      <c r="K14" s="7"/>
      <c r="L14" s="7" t="s">
        <v>7</v>
      </c>
      <c r="M14" s="7" t="s">
        <v>7</v>
      </c>
      <c r="N14" s="7"/>
      <c r="O14" s="7" t="s">
        <v>7</v>
      </c>
      <c r="P14" s="7" t="s">
        <v>7</v>
      </c>
      <c r="Q14" s="7"/>
      <c r="R14" s="7" t="s">
        <v>7</v>
      </c>
    </row>
    <row r="15" spans="1:18" s="4" customFormat="1" ht="51.6" hidden="1" customHeight="1" x14ac:dyDescent="0.25">
      <c r="A15" s="3" t="s">
        <v>7</v>
      </c>
      <c r="B15" s="13" t="s">
        <v>428</v>
      </c>
      <c r="C15" s="7" t="s">
        <v>13</v>
      </c>
      <c r="D15" s="7" t="s">
        <v>177</v>
      </c>
      <c r="E15" s="7" t="str">
        <f>VLOOKUP(G15,'Z0000002-508704 BOM triển khai'!$G$3:$R$32,12,0)</f>
        <v>SUS304, điện hóa</v>
      </c>
      <c r="F15" s="7" t="s">
        <v>7</v>
      </c>
      <c r="G15" s="7" t="s">
        <v>56</v>
      </c>
      <c r="H15" s="7" t="str">
        <f>VLOOKUP(G15,'Z0000002-508704 BOM triển khai'!$G$3:$H$32,2,0)</f>
        <v>TT</v>
      </c>
      <c r="I15" s="7">
        <f t="shared" si="0"/>
        <v>18</v>
      </c>
      <c r="J15" s="7">
        <f t="shared" si="1"/>
        <v>108</v>
      </c>
      <c r="K15" s="7"/>
      <c r="L15" s="7" t="s">
        <v>7</v>
      </c>
      <c r="M15" s="7" t="s">
        <v>7</v>
      </c>
      <c r="N15" s="7"/>
      <c r="O15" s="7" t="s">
        <v>7</v>
      </c>
      <c r="P15" s="7" t="s">
        <v>7</v>
      </c>
      <c r="Q15" s="7"/>
      <c r="R15" s="7" t="s">
        <v>7</v>
      </c>
    </row>
    <row r="16" spans="1:18" s="4" customFormat="1" ht="51.6" hidden="1" customHeight="1" x14ac:dyDescent="0.25">
      <c r="A16" s="3" t="s">
        <v>7</v>
      </c>
      <c r="B16" s="13" t="s">
        <v>429</v>
      </c>
      <c r="C16" s="7" t="s">
        <v>13</v>
      </c>
      <c r="D16" s="7" t="s">
        <v>178</v>
      </c>
      <c r="E16" s="7" t="str">
        <f>VLOOKUP(G16,'Z0000002-508704 BOM triển khai'!$G$3:$R$32,12,0)</f>
        <v>SUS304, điện hóa</v>
      </c>
      <c r="F16" s="7" t="s">
        <v>7</v>
      </c>
      <c r="G16" s="7" t="s">
        <v>78</v>
      </c>
      <c r="H16" s="7" t="str">
        <f>VLOOKUP(G16,'Z0000002-508704 BOM triển khai'!$G$3:$H$32,2,0)</f>
        <v>TT</v>
      </c>
      <c r="I16" s="7">
        <f t="shared" si="0"/>
        <v>18</v>
      </c>
      <c r="J16" s="7">
        <f t="shared" si="1"/>
        <v>108</v>
      </c>
      <c r="K16" s="7"/>
      <c r="L16" s="7" t="s">
        <v>7</v>
      </c>
      <c r="M16" s="7" t="s">
        <v>7</v>
      </c>
      <c r="N16" s="7"/>
      <c r="O16" s="7" t="s">
        <v>7</v>
      </c>
      <c r="P16" s="7" t="s">
        <v>7</v>
      </c>
      <c r="Q16" s="7"/>
      <c r="R16" s="7" t="s">
        <v>7</v>
      </c>
    </row>
    <row r="17" spans="1:18" s="4" customFormat="1" ht="51.6" hidden="1" customHeight="1" x14ac:dyDescent="0.25">
      <c r="A17" s="3" t="s">
        <v>7</v>
      </c>
      <c r="B17" s="13" t="s">
        <v>430</v>
      </c>
      <c r="C17" s="7" t="s">
        <v>49</v>
      </c>
      <c r="D17" s="7" t="s">
        <v>179</v>
      </c>
      <c r="E17" s="7" t="str">
        <f>VLOOKUP(G17,'Z0000002-508704 BOM triển khai'!$G$3:$R$32,12,0)</f>
        <v>Rulo</v>
      </c>
      <c r="F17" s="7" t="s">
        <v>7</v>
      </c>
      <c r="G17" s="7" t="s">
        <v>51</v>
      </c>
      <c r="H17" s="7" t="str">
        <f>VLOOKUP(G17,'Z0000002-508704 BOM triển khai'!$G$3:$H$32,2,0)</f>
        <v>TT</v>
      </c>
      <c r="I17" s="7">
        <f t="shared" si="0"/>
        <v>36</v>
      </c>
      <c r="J17" s="7">
        <f t="shared" si="1"/>
        <v>216</v>
      </c>
      <c r="K17" s="7"/>
      <c r="L17" s="7" t="s">
        <v>7</v>
      </c>
      <c r="M17" s="7" t="s">
        <v>7</v>
      </c>
      <c r="N17" s="7"/>
      <c r="O17" s="7" t="s">
        <v>7</v>
      </c>
      <c r="P17" s="7" t="s">
        <v>7</v>
      </c>
      <c r="Q17" s="7"/>
      <c r="R17" s="7" t="s">
        <v>7</v>
      </c>
    </row>
    <row r="18" spans="1:18" s="4" customFormat="1" ht="51.6" hidden="1" customHeight="1" x14ac:dyDescent="0.25">
      <c r="A18" s="3" t="s">
        <v>7</v>
      </c>
      <c r="B18" s="13" t="s">
        <v>431</v>
      </c>
      <c r="C18" s="7" t="s">
        <v>8</v>
      </c>
      <c r="D18" s="7" t="s">
        <v>180</v>
      </c>
      <c r="E18" s="7" t="str">
        <f>VLOOKUP(G18,'Z0000002-508704 BOM triển khai'!$G$3:$R$32,12,0)</f>
        <v>Rulo</v>
      </c>
      <c r="F18" s="7" t="s">
        <v>7</v>
      </c>
      <c r="G18" s="7" t="s">
        <v>67</v>
      </c>
      <c r="H18" s="7" t="str">
        <f>VLOOKUP(G18,'Z0000002-508704 BOM triển khai'!$G$3:$H$32,2,0)</f>
        <v>TT</v>
      </c>
      <c r="I18" s="7">
        <f t="shared" si="0"/>
        <v>9</v>
      </c>
      <c r="J18" s="7">
        <f t="shared" si="1"/>
        <v>54</v>
      </c>
      <c r="K18" s="7"/>
      <c r="L18" s="7" t="s">
        <v>7</v>
      </c>
      <c r="M18" s="7" t="s">
        <v>7</v>
      </c>
      <c r="N18" s="7"/>
      <c r="O18" s="7" t="s">
        <v>7</v>
      </c>
      <c r="P18" s="7" t="s">
        <v>7</v>
      </c>
      <c r="Q18" s="7"/>
      <c r="R18" s="7" t="s">
        <v>7</v>
      </c>
    </row>
    <row r="19" spans="1:18" s="4" customFormat="1" ht="51.6" hidden="1" customHeight="1" x14ac:dyDescent="0.25">
      <c r="A19" s="3" t="s">
        <v>7</v>
      </c>
      <c r="B19" s="13" t="s">
        <v>432</v>
      </c>
      <c r="C19" s="7" t="s">
        <v>8</v>
      </c>
      <c r="D19" s="7" t="s">
        <v>181</v>
      </c>
      <c r="E19" s="7" t="str">
        <f>VLOOKUP(G19,'Z0000002-508704 BOM triển khai'!$G$3:$R$32,12,0)</f>
        <v>Trục</v>
      </c>
      <c r="F19" s="7" t="s">
        <v>7</v>
      </c>
      <c r="G19" s="7" t="s">
        <v>65</v>
      </c>
      <c r="H19" s="7" t="str">
        <f>VLOOKUP(G19,'Z0000002-508704 BOM triển khai'!$G$3:$H$32,2,0)</f>
        <v>TT</v>
      </c>
      <c r="I19" s="7">
        <f t="shared" si="0"/>
        <v>9</v>
      </c>
      <c r="J19" s="7">
        <f t="shared" si="1"/>
        <v>54</v>
      </c>
      <c r="K19" s="7"/>
      <c r="L19" s="7" t="s">
        <v>7</v>
      </c>
      <c r="M19" s="7" t="s">
        <v>7</v>
      </c>
      <c r="N19" s="7"/>
      <c r="O19" s="7" t="s">
        <v>7</v>
      </c>
      <c r="P19" s="7" t="s">
        <v>7</v>
      </c>
      <c r="Q19" s="7"/>
      <c r="R19" s="7" t="s">
        <v>7</v>
      </c>
    </row>
    <row r="20" spans="1:18" s="4" customFormat="1" ht="51.6" hidden="1" customHeight="1" x14ac:dyDescent="0.25">
      <c r="A20" s="3" t="s">
        <v>7</v>
      </c>
      <c r="B20" s="13" t="s">
        <v>433</v>
      </c>
      <c r="C20" s="7" t="s">
        <v>8</v>
      </c>
      <c r="D20" s="7" t="s">
        <v>182</v>
      </c>
      <c r="E20" s="7" t="str">
        <f>E11</f>
        <v>AL6061 anode đen</v>
      </c>
      <c r="F20" s="7" t="s">
        <v>7</v>
      </c>
      <c r="G20" s="7" t="s">
        <v>183</v>
      </c>
      <c r="H20" s="7" t="str">
        <f>H11</f>
        <v>GTAM</v>
      </c>
      <c r="I20" s="7">
        <f t="shared" si="0"/>
        <v>9</v>
      </c>
      <c r="J20" s="7">
        <f t="shared" si="1"/>
        <v>54</v>
      </c>
      <c r="K20" s="7" t="s">
        <v>536</v>
      </c>
      <c r="L20" s="7" t="s">
        <v>7</v>
      </c>
      <c r="M20" s="7" t="s">
        <v>7</v>
      </c>
      <c r="N20" s="7"/>
      <c r="O20" s="7" t="s">
        <v>7</v>
      </c>
      <c r="P20" s="7" t="s">
        <v>7</v>
      </c>
      <c r="Q20" s="7"/>
      <c r="R20" s="7" t="s">
        <v>7</v>
      </c>
    </row>
    <row r="21" spans="1:18" s="4" customFormat="1" ht="51.6" hidden="1" customHeight="1" x14ac:dyDescent="0.25">
      <c r="A21" s="3" t="s">
        <v>7</v>
      </c>
      <c r="B21" s="13" t="s">
        <v>434</v>
      </c>
      <c r="C21" s="7" t="s">
        <v>8</v>
      </c>
      <c r="D21" s="7" t="s">
        <v>184</v>
      </c>
      <c r="E21" s="7" t="str">
        <f>E20</f>
        <v>AL6061 anode đen</v>
      </c>
      <c r="F21" s="7" t="s">
        <v>7</v>
      </c>
      <c r="G21" s="7" t="s">
        <v>185</v>
      </c>
      <c r="H21" s="7" t="str">
        <f>H20</f>
        <v>GTAM</v>
      </c>
      <c r="I21" s="7">
        <f t="shared" si="0"/>
        <v>9</v>
      </c>
      <c r="J21" s="7">
        <f t="shared" si="1"/>
        <v>54</v>
      </c>
      <c r="K21" s="7" t="s">
        <v>536</v>
      </c>
      <c r="L21" s="7" t="s">
        <v>7</v>
      </c>
      <c r="M21" s="7" t="s">
        <v>7</v>
      </c>
      <c r="N21" s="7"/>
      <c r="O21" s="7" t="s">
        <v>7</v>
      </c>
      <c r="P21" s="7" t="s">
        <v>7</v>
      </c>
      <c r="Q21" s="7"/>
      <c r="R21" s="7" t="s">
        <v>7</v>
      </c>
    </row>
    <row r="22" spans="1:18" s="4" customFormat="1" ht="51.6" hidden="1" customHeight="1" x14ac:dyDescent="0.25">
      <c r="A22" s="3" t="s">
        <v>7</v>
      </c>
      <c r="B22" s="13" t="s">
        <v>435</v>
      </c>
      <c r="C22" s="7" t="s">
        <v>8</v>
      </c>
      <c r="D22" s="7" t="s">
        <v>186</v>
      </c>
      <c r="E22" s="7" t="str">
        <f>E21</f>
        <v>AL6061 anode đen</v>
      </c>
      <c r="F22" s="7" t="s">
        <v>7</v>
      </c>
      <c r="G22" s="7" t="s">
        <v>185</v>
      </c>
      <c r="H22" s="7" t="str">
        <f>H21</f>
        <v>GTAM</v>
      </c>
      <c r="I22" s="7">
        <f t="shared" si="0"/>
        <v>9</v>
      </c>
      <c r="J22" s="7">
        <f t="shared" si="1"/>
        <v>54</v>
      </c>
      <c r="K22" s="7" t="s">
        <v>536</v>
      </c>
      <c r="L22" s="7" t="s">
        <v>7</v>
      </c>
      <c r="M22" s="7" t="s">
        <v>7</v>
      </c>
      <c r="N22" s="7"/>
      <c r="O22" s="7" t="s">
        <v>7</v>
      </c>
      <c r="P22" s="7" t="s">
        <v>7</v>
      </c>
      <c r="Q22" s="7"/>
      <c r="R22" s="7" t="s">
        <v>7</v>
      </c>
    </row>
    <row r="23" spans="1:18" s="4" customFormat="1" ht="51.6" hidden="1" customHeight="1" x14ac:dyDescent="0.25">
      <c r="A23" s="3" t="s">
        <v>7</v>
      </c>
      <c r="B23" s="13" t="s">
        <v>436</v>
      </c>
      <c r="C23" s="7" t="s">
        <v>13</v>
      </c>
      <c r="D23" s="7" t="s">
        <v>187</v>
      </c>
      <c r="E23" s="7" t="s">
        <v>492</v>
      </c>
      <c r="F23" s="7" t="s">
        <v>7</v>
      </c>
      <c r="G23" s="7" t="s">
        <v>188</v>
      </c>
      <c r="H23" s="7" t="str">
        <f>H22</f>
        <v>GTAM</v>
      </c>
      <c r="I23" s="7">
        <f t="shared" si="0"/>
        <v>18</v>
      </c>
      <c r="J23" s="7">
        <f t="shared" si="1"/>
        <v>108</v>
      </c>
      <c r="K23" s="7" t="s">
        <v>532</v>
      </c>
      <c r="L23" s="7" t="s">
        <v>7</v>
      </c>
      <c r="M23" s="7" t="s">
        <v>7</v>
      </c>
      <c r="N23" s="7"/>
      <c r="O23" s="7" t="s">
        <v>7</v>
      </c>
      <c r="P23" s="7" t="s">
        <v>7</v>
      </c>
      <c r="Q23" s="7"/>
      <c r="R23" s="7" t="s">
        <v>7</v>
      </c>
    </row>
    <row r="24" spans="1:18" s="4" customFormat="1" ht="51.6" hidden="1" customHeight="1" x14ac:dyDescent="0.25">
      <c r="A24" s="3" t="s">
        <v>7</v>
      </c>
      <c r="B24" s="13" t="s">
        <v>437</v>
      </c>
      <c r="C24" s="7" t="s">
        <v>8</v>
      </c>
      <c r="D24" s="7" t="s">
        <v>189</v>
      </c>
      <c r="E24" s="7" t="str">
        <f>E23</f>
        <v>PB108</v>
      </c>
      <c r="F24" s="7" t="s">
        <v>7</v>
      </c>
      <c r="G24" s="7" t="s">
        <v>190</v>
      </c>
      <c r="H24" s="7" t="str">
        <f>H23</f>
        <v>GTAM</v>
      </c>
      <c r="I24" s="7">
        <f t="shared" si="0"/>
        <v>9</v>
      </c>
      <c r="J24" s="7">
        <f t="shared" si="1"/>
        <v>54</v>
      </c>
      <c r="K24" s="7" t="s">
        <v>536</v>
      </c>
      <c r="L24" s="7" t="s">
        <v>7</v>
      </c>
      <c r="M24" s="7" t="s">
        <v>7</v>
      </c>
      <c r="N24" s="7"/>
      <c r="O24" s="7" t="s">
        <v>7</v>
      </c>
      <c r="P24" s="7" t="s">
        <v>7</v>
      </c>
      <c r="Q24" s="7"/>
      <c r="R24" s="7" t="s">
        <v>7</v>
      </c>
    </row>
    <row r="25" spans="1:18" s="4" customFormat="1" ht="51.6" hidden="1" customHeight="1" x14ac:dyDescent="0.25">
      <c r="A25" s="3" t="s">
        <v>7</v>
      </c>
      <c r="B25" s="13" t="s">
        <v>438</v>
      </c>
      <c r="C25" s="7" t="s">
        <v>13</v>
      </c>
      <c r="D25" s="7" t="s">
        <v>191</v>
      </c>
      <c r="E25" s="7" t="s">
        <v>515</v>
      </c>
      <c r="F25" s="7" t="s">
        <v>7</v>
      </c>
      <c r="G25" s="7" t="s">
        <v>192</v>
      </c>
      <c r="H25" s="7" t="s">
        <v>493</v>
      </c>
      <c r="I25" s="7">
        <f t="shared" si="0"/>
        <v>18</v>
      </c>
      <c r="J25" s="7">
        <f t="shared" si="1"/>
        <v>108</v>
      </c>
      <c r="K25" s="7"/>
      <c r="L25" s="7" t="s">
        <v>7</v>
      </c>
      <c r="M25" s="7" t="s">
        <v>7</v>
      </c>
      <c r="N25" s="7"/>
      <c r="O25" s="7" t="s">
        <v>7</v>
      </c>
      <c r="P25" s="7" t="s">
        <v>7</v>
      </c>
      <c r="Q25" s="7"/>
      <c r="R25" s="7" t="s">
        <v>7</v>
      </c>
    </row>
    <row r="26" spans="1:18" s="4" customFormat="1" ht="51.6" hidden="1" customHeight="1" x14ac:dyDescent="0.25">
      <c r="A26" s="3" t="s">
        <v>7</v>
      </c>
      <c r="B26" s="13" t="s">
        <v>439</v>
      </c>
      <c r="C26" s="7" t="s">
        <v>8</v>
      </c>
      <c r="D26" s="7" t="s">
        <v>193</v>
      </c>
      <c r="E26" s="7" t="str">
        <f>E24</f>
        <v>PB108</v>
      </c>
      <c r="F26" s="7" t="s">
        <v>7</v>
      </c>
      <c r="G26" s="7" t="s">
        <v>190</v>
      </c>
      <c r="H26" s="7" t="s">
        <v>494</v>
      </c>
      <c r="I26" s="7">
        <f t="shared" si="0"/>
        <v>9</v>
      </c>
      <c r="J26" s="7">
        <f t="shared" si="1"/>
        <v>54</v>
      </c>
      <c r="K26" s="7" t="s">
        <v>536</v>
      </c>
      <c r="L26" s="7" t="s">
        <v>7</v>
      </c>
      <c r="M26" s="7" t="s">
        <v>7</v>
      </c>
      <c r="N26" s="7"/>
      <c r="O26" s="7" t="s">
        <v>7</v>
      </c>
      <c r="P26" s="7" t="s">
        <v>7</v>
      </c>
      <c r="Q26" s="7"/>
      <c r="R26" s="7" t="s">
        <v>7</v>
      </c>
    </row>
    <row r="27" spans="1:18" s="4" customFormat="1" ht="51.6" hidden="1" customHeight="1" x14ac:dyDescent="0.25">
      <c r="A27" s="3" t="s">
        <v>7</v>
      </c>
      <c r="B27" s="13" t="s">
        <v>440</v>
      </c>
      <c r="C27" s="7" t="s">
        <v>8</v>
      </c>
      <c r="D27" s="7" t="s">
        <v>194</v>
      </c>
      <c r="E27" s="7" t="str">
        <f>E22</f>
        <v>AL6061 anode đen</v>
      </c>
      <c r="F27" s="7" t="s">
        <v>7</v>
      </c>
      <c r="G27" s="7" t="s">
        <v>195</v>
      </c>
      <c r="H27" s="7" t="str">
        <f>H24</f>
        <v>GTAM</v>
      </c>
      <c r="I27" s="7">
        <f t="shared" si="0"/>
        <v>9</v>
      </c>
      <c r="J27" s="7">
        <f t="shared" si="1"/>
        <v>54</v>
      </c>
      <c r="K27" s="7" t="s">
        <v>536</v>
      </c>
      <c r="L27" s="7" t="s">
        <v>7</v>
      </c>
      <c r="M27" s="7" t="s">
        <v>7</v>
      </c>
      <c r="N27" s="7"/>
      <c r="O27" s="7" t="s">
        <v>7</v>
      </c>
      <c r="P27" s="7" t="s">
        <v>7</v>
      </c>
      <c r="Q27" s="7"/>
      <c r="R27" s="7" t="s">
        <v>7</v>
      </c>
    </row>
    <row r="28" spans="1:18" s="4" customFormat="1" ht="51.6" customHeight="1" x14ac:dyDescent="0.25">
      <c r="A28" s="3" t="s">
        <v>7</v>
      </c>
      <c r="B28" s="13" t="s">
        <v>441</v>
      </c>
      <c r="C28" s="7" t="s">
        <v>49</v>
      </c>
      <c r="D28" s="7" t="s">
        <v>196</v>
      </c>
      <c r="E28" s="7" t="s">
        <v>488</v>
      </c>
      <c r="F28" s="7" t="s">
        <v>7</v>
      </c>
      <c r="G28" s="7" t="s">
        <v>197</v>
      </c>
      <c r="H28" s="7" t="s">
        <v>487</v>
      </c>
      <c r="I28" s="7">
        <f t="shared" si="0"/>
        <v>36</v>
      </c>
      <c r="J28" s="7">
        <f t="shared" si="1"/>
        <v>216</v>
      </c>
      <c r="K28" s="7"/>
      <c r="L28" s="7" t="s">
        <v>7</v>
      </c>
      <c r="M28" s="7" t="s">
        <v>7</v>
      </c>
      <c r="N28" s="7"/>
      <c r="O28" s="7" t="s">
        <v>7</v>
      </c>
      <c r="P28" s="7" t="s">
        <v>7</v>
      </c>
      <c r="Q28" s="7"/>
      <c r="R28" s="7" t="s">
        <v>7</v>
      </c>
    </row>
    <row r="29" spans="1:18" s="4" customFormat="1" ht="51.6" hidden="1" customHeight="1" x14ac:dyDescent="0.25">
      <c r="A29" s="3" t="s">
        <v>7</v>
      </c>
      <c r="B29" s="13" t="s">
        <v>442</v>
      </c>
      <c r="C29" s="7" t="s">
        <v>8</v>
      </c>
      <c r="D29" s="7" t="s">
        <v>198</v>
      </c>
      <c r="E29" s="7" t="str">
        <f>E22</f>
        <v>AL6061 anode đen</v>
      </c>
      <c r="F29" s="7" t="s">
        <v>7</v>
      </c>
      <c r="G29" s="7" t="s">
        <v>199</v>
      </c>
      <c r="H29" s="7" t="str">
        <f>H27</f>
        <v>GTAM</v>
      </c>
      <c r="I29" s="7">
        <f t="shared" si="0"/>
        <v>9</v>
      </c>
      <c r="J29" s="7">
        <f t="shared" si="1"/>
        <v>54</v>
      </c>
      <c r="K29" s="7" t="s">
        <v>536</v>
      </c>
      <c r="L29" s="7" t="s">
        <v>7</v>
      </c>
      <c r="M29" s="7" t="s">
        <v>7</v>
      </c>
      <c r="N29" s="7"/>
      <c r="O29" s="7" t="s">
        <v>7</v>
      </c>
      <c r="P29" s="7" t="s">
        <v>7</v>
      </c>
      <c r="Q29" s="7"/>
      <c r="R29" s="7" t="s">
        <v>7</v>
      </c>
    </row>
    <row r="30" spans="1:18" s="4" customFormat="1" ht="51.6" hidden="1" customHeight="1" x14ac:dyDescent="0.25">
      <c r="A30" s="3" t="s">
        <v>7</v>
      </c>
      <c r="B30" s="13" t="s">
        <v>443</v>
      </c>
      <c r="C30" s="7" t="s">
        <v>13</v>
      </c>
      <c r="D30" s="7" t="s">
        <v>200</v>
      </c>
      <c r="E30" s="7" t="str">
        <f>E29</f>
        <v>AL6061 anode đen</v>
      </c>
      <c r="F30" s="7" t="s">
        <v>7</v>
      </c>
      <c r="G30" s="7" t="s">
        <v>201</v>
      </c>
      <c r="H30" s="7" t="str">
        <f>H29</f>
        <v>GTAM</v>
      </c>
      <c r="I30" s="7">
        <f t="shared" si="0"/>
        <v>18</v>
      </c>
      <c r="J30" s="7">
        <f t="shared" si="1"/>
        <v>108</v>
      </c>
      <c r="K30" s="7" t="s">
        <v>536</v>
      </c>
      <c r="L30" s="7" t="s">
        <v>7</v>
      </c>
      <c r="M30" s="7" t="s">
        <v>7</v>
      </c>
      <c r="N30" s="7"/>
      <c r="O30" s="7" t="s">
        <v>7</v>
      </c>
      <c r="P30" s="7" t="s">
        <v>7</v>
      </c>
      <c r="Q30" s="7"/>
      <c r="R30" s="7" t="s">
        <v>7</v>
      </c>
    </row>
    <row r="31" spans="1:18" s="4" customFormat="1" ht="51.6" customHeight="1" x14ac:dyDescent="0.25">
      <c r="A31" s="3" t="s">
        <v>7</v>
      </c>
      <c r="B31" s="13" t="s">
        <v>444</v>
      </c>
      <c r="C31" s="7" t="s">
        <v>13</v>
      </c>
      <c r="D31" s="7" t="s">
        <v>202</v>
      </c>
      <c r="E31" s="7" t="str">
        <f>E28</f>
        <v>SUS304, điện hóa</v>
      </c>
      <c r="F31" s="7" t="s">
        <v>7</v>
      </c>
      <c r="G31" s="7" t="s">
        <v>203</v>
      </c>
      <c r="H31" s="7" t="str">
        <f>H28</f>
        <v>CG</v>
      </c>
      <c r="I31" s="7">
        <f t="shared" si="0"/>
        <v>18</v>
      </c>
      <c r="J31" s="7">
        <f t="shared" si="1"/>
        <v>108</v>
      </c>
      <c r="K31" s="7"/>
      <c r="L31" s="7" t="s">
        <v>7</v>
      </c>
      <c r="M31" s="7" t="s">
        <v>7</v>
      </c>
      <c r="N31" s="7"/>
      <c r="O31" s="7" t="s">
        <v>7</v>
      </c>
      <c r="P31" s="7" t="s">
        <v>7</v>
      </c>
      <c r="Q31" s="7"/>
      <c r="R31" s="7" t="s">
        <v>7</v>
      </c>
    </row>
    <row r="32" spans="1:18" s="4" customFormat="1" ht="51.6" hidden="1" customHeight="1" x14ac:dyDescent="0.25">
      <c r="A32" s="3" t="s">
        <v>7</v>
      </c>
      <c r="B32" s="13" t="s">
        <v>445</v>
      </c>
      <c r="C32" s="7" t="s">
        <v>8</v>
      </c>
      <c r="D32" s="7" t="s">
        <v>204</v>
      </c>
      <c r="E32" s="7" t="str">
        <f>E30</f>
        <v>AL6061 anode đen</v>
      </c>
      <c r="F32" s="7" t="s">
        <v>7</v>
      </c>
      <c r="G32" s="7" t="s">
        <v>205</v>
      </c>
      <c r="H32" s="7" t="str">
        <f>H30</f>
        <v>GTAM</v>
      </c>
      <c r="I32" s="7">
        <f t="shared" si="0"/>
        <v>9</v>
      </c>
      <c r="J32" s="7">
        <f t="shared" si="1"/>
        <v>54</v>
      </c>
      <c r="K32" s="7" t="s">
        <v>536</v>
      </c>
      <c r="L32" s="7" t="s">
        <v>7</v>
      </c>
      <c r="M32" s="7" t="s">
        <v>7</v>
      </c>
      <c r="N32" s="7"/>
      <c r="O32" s="7" t="s">
        <v>7</v>
      </c>
      <c r="P32" s="7" t="s">
        <v>7</v>
      </c>
      <c r="Q32" s="7"/>
      <c r="R32" s="7" t="s">
        <v>7</v>
      </c>
    </row>
    <row r="33" spans="1:18" s="4" customFormat="1" ht="51.6" hidden="1" customHeight="1" x14ac:dyDescent="0.25">
      <c r="A33" s="3" t="s">
        <v>7</v>
      </c>
      <c r="B33" s="13" t="s">
        <v>446</v>
      </c>
      <c r="C33" s="7" t="s">
        <v>8</v>
      </c>
      <c r="D33" s="7" t="s">
        <v>206</v>
      </c>
      <c r="E33" s="7" t="s">
        <v>513</v>
      </c>
      <c r="F33" s="7" t="s">
        <v>7</v>
      </c>
      <c r="G33" s="7" t="s">
        <v>207</v>
      </c>
      <c r="H33" s="7" t="str">
        <f>H32</f>
        <v>GTAM</v>
      </c>
      <c r="I33" s="7">
        <f t="shared" si="0"/>
        <v>9</v>
      </c>
      <c r="J33" s="7">
        <f t="shared" si="1"/>
        <v>54</v>
      </c>
      <c r="K33" s="7" t="s">
        <v>532</v>
      </c>
      <c r="L33" s="7" t="s">
        <v>7</v>
      </c>
      <c r="M33" s="7" t="s">
        <v>7</v>
      </c>
      <c r="N33" s="7"/>
      <c r="O33" s="7" t="s">
        <v>7</v>
      </c>
      <c r="P33" s="7" t="s">
        <v>7</v>
      </c>
      <c r="Q33" s="7"/>
      <c r="R33" s="7" t="s">
        <v>7</v>
      </c>
    </row>
    <row r="34" spans="1:18" s="4" customFormat="1" ht="51.6" hidden="1" customHeight="1" x14ac:dyDescent="0.25">
      <c r="A34" s="3" t="s">
        <v>7</v>
      </c>
      <c r="B34" s="13" t="s">
        <v>447</v>
      </c>
      <c r="C34" s="7" t="s">
        <v>8</v>
      </c>
      <c r="D34" s="7" t="s">
        <v>208</v>
      </c>
      <c r="E34" s="7" t="str">
        <f>E32</f>
        <v>AL6061 anode đen</v>
      </c>
      <c r="F34" s="7" t="s">
        <v>7</v>
      </c>
      <c r="G34" s="7" t="s">
        <v>209</v>
      </c>
      <c r="H34" s="7" t="str">
        <f>H33</f>
        <v>GTAM</v>
      </c>
      <c r="I34" s="7">
        <f t="shared" si="0"/>
        <v>9</v>
      </c>
      <c r="J34" s="7">
        <f t="shared" si="1"/>
        <v>54</v>
      </c>
      <c r="K34" s="7" t="s">
        <v>536</v>
      </c>
      <c r="L34" s="7" t="s">
        <v>7</v>
      </c>
      <c r="M34" s="7" t="s">
        <v>7</v>
      </c>
      <c r="N34" s="7"/>
      <c r="O34" s="7" t="s">
        <v>7</v>
      </c>
      <c r="P34" s="7" t="s">
        <v>7</v>
      </c>
      <c r="Q34" s="7"/>
      <c r="R34" s="7" t="s">
        <v>7</v>
      </c>
    </row>
    <row r="35" spans="1:18" s="4" customFormat="1" ht="51.6" hidden="1" customHeight="1" x14ac:dyDescent="0.25">
      <c r="A35" s="3" t="s">
        <v>7</v>
      </c>
      <c r="B35" s="13" t="s">
        <v>448</v>
      </c>
      <c r="C35" s="7" t="s">
        <v>8</v>
      </c>
      <c r="D35" s="7" t="s">
        <v>210</v>
      </c>
      <c r="E35" s="7" t="str">
        <f>E32</f>
        <v>AL6061 anode đen</v>
      </c>
      <c r="F35" s="7" t="s">
        <v>7</v>
      </c>
      <c r="G35" s="7" t="s">
        <v>211</v>
      </c>
      <c r="H35" s="7" t="str">
        <f>H34</f>
        <v>GTAM</v>
      </c>
      <c r="I35" s="7">
        <f t="shared" si="0"/>
        <v>9</v>
      </c>
      <c r="J35" s="7">
        <f t="shared" si="1"/>
        <v>54</v>
      </c>
      <c r="K35" s="7" t="s">
        <v>536</v>
      </c>
      <c r="L35" s="7" t="s">
        <v>7</v>
      </c>
      <c r="M35" s="7" t="s">
        <v>7</v>
      </c>
      <c r="N35" s="7"/>
      <c r="O35" s="7" t="s">
        <v>7</v>
      </c>
      <c r="P35" s="7" t="s">
        <v>7</v>
      </c>
      <c r="Q35" s="7"/>
      <c r="R35" s="7" t="s">
        <v>7</v>
      </c>
    </row>
    <row r="36" spans="1:18" s="4" customFormat="1" ht="51.6" hidden="1" customHeight="1" x14ac:dyDescent="0.25">
      <c r="A36" s="3" t="s">
        <v>7</v>
      </c>
      <c r="B36" s="13" t="s">
        <v>449</v>
      </c>
      <c r="C36" s="7" t="s">
        <v>8</v>
      </c>
      <c r="D36" s="7" t="s">
        <v>212</v>
      </c>
      <c r="E36" s="7" t="str">
        <f>VLOOKUP(G36,'Z0000002-508704 BOM triển khai'!$G$3:$R$32,12,0)</f>
        <v>S6I06GX-12CE và bộ đk tốc độ SUA06IX-V12</v>
      </c>
      <c r="F36" s="7" t="s">
        <v>7</v>
      </c>
      <c r="G36" s="7" t="s">
        <v>39</v>
      </c>
      <c r="H36" s="7" t="str">
        <f>VLOOKUP(G36,'Z0000002-508704 BOM triển khai'!$G$3:$H$32,2,0)</f>
        <v>SPG</v>
      </c>
      <c r="I36" s="7">
        <f t="shared" si="0"/>
        <v>9</v>
      </c>
      <c r="J36" s="7">
        <f t="shared" si="1"/>
        <v>54</v>
      </c>
      <c r="K36" s="7" t="str">
        <f>'Z0000002-508704 BOM triển khai'!K31</f>
        <v>NG báo đã nhận 27 set, đủ lô 7CV</v>
      </c>
      <c r="L36" s="7" t="s">
        <v>7</v>
      </c>
      <c r="M36" s="7" t="s">
        <v>7</v>
      </c>
      <c r="N36" s="7"/>
      <c r="O36" s="7" t="s">
        <v>7</v>
      </c>
      <c r="P36" s="7" t="s">
        <v>7</v>
      </c>
      <c r="Q36" s="7"/>
      <c r="R36" s="7" t="s">
        <v>7</v>
      </c>
    </row>
    <row r="37" spans="1:18" s="4" customFormat="1" ht="51.6" hidden="1" customHeight="1" x14ac:dyDescent="0.25">
      <c r="A37" s="3" t="s">
        <v>7</v>
      </c>
      <c r="B37" s="13" t="s">
        <v>450</v>
      </c>
      <c r="C37" s="7" t="s">
        <v>8</v>
      </c>
      <c r="D37" s="7" t="s">
        <v>213</v>
      </c>
      <c r="E37" s="7" t="str">
        <f>VLOOKUP(G37,'Z0000002-508704 BOM triển khai'!$G$3:$R$32,12,0)</f>
        <v>hộp số S6KA15B</v>
      </c>
      <c r="F37" s="7" t="s">
        <v>7</v>
      </c>
      <c r="G37" s="7" t="s">
        <v>41</v>
      </c>
      <c r="H37" s="7" t="str">
        <f>VLOOKUP(G37,'Z0000002-508704 BOM triển khai'!$G$3:$H$32,2,0)</f>
        <v>SPG</v>
      </c>
      <c r="I37" s="7">
        <f t="shared" si="0"/>
        <v>9</v>
      </c>
      <c r="J37" s="7">
        <f t="shared" si="1"/>
        <v>54</v>
      </c>
      <c r="K37" s="7" t="str">
        <f>K36</f>
        <v>NG báo đã nhận 27 set, đủ lô 7CV</v>
      </c>
      <c r="L37" s="7" t="s">
        <v>7</v>
      </c>
      <c r="M37" s="7" t="s">
        <v>7</v>
      </c>
      <c r="N37" s="7"/>
      <c r="O37" s="7" t="s">
        <v>7</v>
      </c>
      <c r="P37" s="7" t="s">
        <v>7</v>
      </c>
      <c r="Q37" s="7"/>
      <c r="R37" s="7" t="s">
        <v>7</v>
      </c>
    </row>
    <row r="40" spans="1:18" x14ac:dyDescent="0.25">
      <c r="H40" s="15" t="str">
        <f>'Z0000002-508704 BOM triển khai'!H34</f>
        <v>Belt</v>
      </c>
      <c r="I40" s="15" t="str">
        <f>'Z0000002-508704 BOM triển khai'!I34</f>
        <v>đã nhận đủ hàng 9/4</v>
      </c>
      <c r="J40" s="15" t="str">
        <f>'Z0000002-508704 BOM triển khai'!J34</f>
        <v>đã đặt hàng 10/4, hẹn 25/4 giao 50%, 5/5 giao nốt</v>
      </c>
      <c r="K40" s="15">
        <f>'Z0000002-508704 BOM triển khai'!K34</f>
        <v>0</v>
      </c>
    </row>
    <row r="41" spans="1:18" x14ac:dyDescent="0.25">
      <c r="H41" s="15" t="str">
        <f>'Z0000002-508704 BOM triển khai'!H35</f>
        <v>CG</v>
      </c>
      <c r="I41" s="15" t="str">
        <f>'Z0000002-508704 BOM triển khai'!I35</f>
        <v>đã xong 9/4</v>
      </c>
      <c r="J41" s="15">
        <f>'Z0000002-508704 BOM triển khai'!J35</f>
        <v>0</v>
      </c>
      <c r="K41" s="15">
        <f>'Z0000002-508704 BOM triển khai'!K35</f>
        <v>0</v>
      </c>
    </row>
    <row r="42" spans="1:18" x14ac:dyDescent="0.25">
      <c r="H42" s="15" t="str">
        <f>'Z0000002-508704 BOM triển khai'!H36</f>
        <v>Chốt cài</v>
      </c>
      <c r="I42" s="15" t="str">
        <f>'Z0000002-508704 BOM triển khai'!I36</f>
        <v>đã tồn kho</v>
      </c>
      <c r="J42" s="15" t="str">
        <f>'Z0000002-508704 BOM triển khai'!J36</f>
        <v>đã tồn kho</v>
      </c>
      <c r="K42" s="15">
        <f>'Z0000002-508704 BOM triển khai'!K36</f>
        <v>0</v>
      </c>
    </row>
    <row r="43" spans="1:18" x14ac:dyDescent="0.25">
      <c r="H43" s="15" t="str">
        <f>'Z0000002-508704 BOM triển khai'!H37</f>
        <v>GTAM</v>
      </c>
      <c r="I43" s="15" t="str">
        <f>'Z0000002-508704 BOM triển khai'!I37</f>
        <v>9/4 đã xong</v>
      </c>
      <c r="J43" s="15">
        <f>'Z0000002-508704 BOM triển khai'!J37</f>
        <v>0</v>
      </c>
      <c r="K43" s="15">
        <f>'Z0000002-508704 BOM triển khai'!K37</f>
        <v>0</v>
      </c>
    </row>
    <row r="44" spans="1:18" x14ac:dyDescent="0.25">
      <c r="H44" s="15" t="str">
        <f>'Z0000002-508704 BOM triển khai'!H38</f>
        <v>MI</v>
      </c>
      <c r="I44" s="15" t="str">
        <f>'Z0000002-508704 BOM triển khai'!I38</f>
        <v>đã chốt đặt, dự kiến về trước 10/4</v>
      </c>
      <c r="J44" s="15" t="str">
        <f>'Z0000002-508704 BOM triển khai'!J38</f>
        <v xml:space="preserve">đã nhận đủ 13/4, </v>
      </c>
      <c r="K44" s="15">
        <f>'Z0000002-508704 BOM triển khai'!K38</f>
        <v>0</v>
      </c>
    </row>
    <row r="45" spans="1:18" x14ac:dyDescent="0.25">
      <c r="H45" s="15" t="str">
        <f>'Z0000002-508704 BOM triển khai'!H39</f>
        <v>TT</v>
      </c>
      <c r="I45" s="15" t="str">
        <f>'Z0000002-508704 BOM triển khai'!I39</f>
        <v>đã giao lô đầu 30 set</v>
      </c>
      <c r="J45" s="15" t="str">
        <f>'Z0000002-508704 BOM triển khai'!J39</f>
        <v>9/4 nhận 159 bộ, thiếu rulo chủ động giao sau</v>
      </c>
      <c r="K45" s="15">
        <f>'Z0000002-508704 BOM triển khai'!K39</f>
        <v>0</v>
      </c>
    </row>
    <row r="46" spans="1:18" x14ac:dyDescent="0.25">
      <c r="H46" s="15" t="str">
        <f>'Z0000002-508704 BOM triển khai'!H40</f>
        <v>Phanh trục</v>
      </c>
      <c r="I46" s="15" t="str">
        <f>'Z0000002-508704 BOM triển khai'!I40</f>
        <v>đã tồn kho sẵn</v>
      </c>
      <c r="J46" s="15" t="str">
        <f>'Z0000002-508704 BOM triển khai'!J40</f>
        <v>đã tồn kho sẵn</v>
      </c>
      <c r="K46" s="15">
        <f>'Z0000002-508704 BOM triển khai'!K40</f>
        <v>0</v>
      </c>
    </row>
    <row r="47" spans="1:18" x14ac:dyDescent="0.25">
      <c r="H47" s="15" t="str">
        <f>'Z0000002-508704 BOM triển khai'!H41</f>
        <v>SPG</v>
      </c>
      <c r="I47" s="15" t="str">
        <f>'Z0000002-508704 BOM triển khai'!I41</f>
        <v>NG báo đã nhận 27 set, đủ lô 7CV</v>
      </c>
      <c r="J47" s="15">
        <f>'Z0000002-508704 BOM triển khai'!J41</f>
        <v>0</v>
      </c>
      <c r="K47" s="15">
        <f>'Z0000002-508704 BOM triển khai'!K41</f>
        <v>0</v>
      </c>
    </row>
    <row r="48" spans="1:18" x14ac:dyDescent="0.25">
      <c r="H48" s="15" t="str">
        <f>'Z0000002-508704 BOM triển khai'!H42</f>
        <v>UP</v>
      </c>
      <c r="I48" s="15" t="str">
        <f>'Z0000002-508704 BOM triển khai'!I42</f>
        <v>đã chốt đặt, dự kiến về trước 10/4</v>
      </c>
      <c r="J48" s="15">
        <f>'Z0000002-508704 BOM triển khai'!J42</f>
        <v>0</v>
      </c>
      <c r="K48" s="15">
        <f>'Z0000002-508704 BOM triển khai'!K42</f>
        <v>0</v>
      </c>
    </row>
    <row r="49" spans="8:11" x14ac:dyDescent="0.25">
      <c r="H49" s="15" t="str">
        <f>'Z0000002-508704 BOM triển khai'!H43</f>
        <v>VB C-SE688ZZ</v>
      </c>
      <c r="I49" s="15" t="str">
        <f>'Z0000002-508704 BOM triển khai'!I43</f>
        <v>đặt tổng 432, đã về hàng 9/4</v>
      </c>
      <c r="J49" s="15" t="str">
        <f>'Z0000002-508704 BOM triển khai'!J43</f>
        <v>Tổng lô đặt HC 2280, 14/4 về trc 630</v>
      </c>
      <c r="K49" s="15">
        <f>'Z0000002-508704 BOM triển khai'!K43</f>
        <v>0</v>
      </c>
    </row>
    <row r="50" spans="8:11" x14ac:dyDescent="0.25">
      <c r="H50" s="15" t="str">
        <f>'Z0000002-508704 BOM triển khai'!H44</f>
        <v>VB C-SE6000ZZ</v>
      </c>
      <c r="I50" s="15" t="str">
        <f>'Z0000002-508704 BOM triển khai'!I44</f>
        <v>đã nhận hàng 27/3</v>
      </c>
      <c r="J50" s="15" t="str">
        <f>'Z0000002-508704 BOM triển khai'!J44</f>
        <v>tổng lô 324, đã về đủ 13/4</v>
      </c>
      <c r="K50" s="15"/>
    </row>
    <row r="51" spans="8:11" x14ac:dyDescent="0.25">
      <c r="H51" s="15">
        <f>'Z0000002-508704 BOM triển khai'!H45</f>
        <v>0</v>
      </c>
      <c r="I51" s="15">
        <f>'Z0000002-508704 BOM triển khai'!I45</f>
        <v>0</v>
      </c>
      <c r="J51" s="15">
        <f>'Z0000002-508704 BOM triển khai'!J45</f>
        <v>0</v>
      </c>
      <c r="K51" s="15">
        <f>'Z0000002-508704 BOM triển khai'!K45</f>
        <v>0</v>
      </c>
    </row>
    <row r="52" spans="8:11" x14ac:dyDescent="0.25">
      <c r="H52" s="15"/>
      <c r="I52" s="15"/>
      <c r="J52" s="15">
        <f>'Z0000002-508704 BOM triển khai'!J46</f>
        <v>0</v>
      </c>
      <c r="K52" s="15"/>
    </row>
    <row r="53" spans="8:11" x14ac:dyDescent="0.25">
      <c r="H53" s="15"/>
      <c r="I53" s="15"/>
      <c r="J53" s="15"/>
      <c r="K53" s="15"/>
    </row>
    <row r="54" spans="8:11" x14ac:dyDescent="0.25">
      <c r="H54" s="15"/>
      <c r="I54" s="15"/>
      <c r="J54" s="15"/>
      <c r="K54" s="15"/>
    </row>
  </sheetData>
  <autoFilter ref="A2:I37" xr:uid="{A4932C65-B095-4BEE-B319-7A445BCB60FA}">
    <filterColumn colId="7">
      <filters>
        <filter val="CG"/>
      </filters>
    </filterColumn>
  </autoFilter>
  <phoneticPr fontId="9" type="noConversion"/>
  <conditionalFormatting sqref="G1:G1048576">
    <cfRule type="duplicateValues" dxfId="0" priority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A23A-2FD9-404D-9F2D-3A80F6A8A0A7}">
  <sheetPr filterMode="1"/>
  <dimension ref="A1:S51"/>
  <sheetViews>
    <sheetView workbookViewId="0">
      <selection activeCell="E54" sqref="E54"/>
    </sheetView>
  </sheetViews>
  <sheetFormatPr defaultRowHeight="15" x14ac:dyDescent="0.25"/>
  <cols>
    <col min="1" max="1" width="16.42578125" customWidth="1"/>
    <col min="2" max="2" width="12" customWidth="1"/>
    <col min="3" max="3" width="9.7109375" customWidth="1"/>
    <col min="4" max="4" width="56.28515625" customWidth="1"/>
    <col min="5" max="5" width="89.7109375" customWidth="1"/>
    <col min="6" max="6" width="15.85546875" customWidth="1"/>
    <col min="7" max="7" width="19.7109375" customWidth="1"/>
    <col min="8" max="19" width="19.42578125" customWidth="1"/>
  </cols>
  <sheetData>
    <row r="1" spans="1:19" ht="27" thickBot="1" x14ac:dyDescent="0.45">
      <c r="A1" s="1" t="s">
        <v>214</v>
      </c>
      <c r="B1" s="2"/>
      <c r="C1" s="2"/>
      <c r="D1" s="2"/>
      <c r="H1" s="10" t="s">
        <v>234</v>
      </c>
      <c r="I1" s="10">
        <v>6</v>
      </c>
      <c r="J1" s="10">
        <f>'[1]ducpt trien khai'!$I$33</f>
        <v>36</v>
      </c>
    </row>
    <row r="2" spans="1:19" s="6" customFormat="1" ht="16.5" thickTop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11" t="s">
        <v>233</v>
      </c>
      <c r="I2" s="12" t="s">
        <v>234</v>
      </c>
      <c r="J2" s="12"/>
      <c r="K2" s="9" t="s">
        <v>519</v>
      </c>
      <c r="L2" s="5"/>
      <c r="M2" s="5"/>
      <c r="N2" s="5"/>
      <c r="O2" s="5"/>
      <c r="P2" s="5"/>
      <c r="Q2" s="5"/>
      <c r="R2" s="5"/>
      <c r="S2" s="5" t="s">
        <v>512</v>
      </c>
    </row>
    <row r="3" spans="1:19" s="4" customFormat="1" ht="46.9" hidden="1" customHeight="1" x14ac:dyDescent="0.25">
      <c r="A3" s="3" t="s">
        <v>7</v>
      </c>
      <c r="B3" s="13" t="s">
        <v>451</v>
      </c>
      <c r="C3" s="7" t="s">
        <v>8</v>
      </c>
      <c r="D3" s="7" t="s">
        <v>164</v>
      </c>
      <c r="E3" s="14" t="s">
        <v>486</v>
      </c>
      <c r="F3" s="7" t="s">
        <v>7</v>
      </c>
      <c r="G3" s="7" t="s">
        <v>10</v>
      </c>
      <c r="H3" s="7" t="s">
        <v>483</v>
      </c>
      <c r="I3" s="7">
        <f>C3*$I$1</f>
        <v>6</v>
      </c>
      <c r="J3" s="7"/>
      <c r="K3" s="7" t="s">
        <v>7</v>
      </c>
      <c r="L3" s="7"/>
      <c r="M3" s="7" t="s">
        <v>7</v>
      </c>
      <c r="N3" s="7" t="s">
        <v>7</v>
      </c>
      <c r="O3" s="7"/>
      <c r="P3" s="7" t="s">
        <v>7</v>
      </c>
      <c r="Q3" s="7" t="s">
        <v>7</v>
      </c>
      <c r="R3" s="7"/>
      <c r="S3" s="7" t="str">
        <f>G3</f>
        <v>110.0 X 30.0 X 10.0</v>
      </c>
    </row>
    <row r="4" spans="1:19" s="4" customFormat="1" ht="46.9" hidden="1" customHeight="1" x14ac:dyDescent="0.25">
      <c r="A4" s="3" t="s">
        <v>7</v>
      </c>
      <c r="B4" s="13" t="s">
        <v>452</v>
      </c>
      <c r="C4" s="7" t="s">
        <v>57</v>
      </c>
      <c r="D4" s="7" t="s">
        <v>215</v>
      </c>
      <c r="E4" s="7" t="str">
        <f>VLOOKUP(G4,'Z0000002-508704 BOM triển khai'!$G$3:$R$32,12,0)</f>
        <v>Phanh trục STWN8</v>
      </c>
      <c r="F4" s="7" t="s">
        <v>7</v>
      </c>
      <c r="G4" s="7" t="s">
        <v>59</v>
      </c>
      <c r="H4" s="7" t="str">
        <f>VLOOKUP(G4,'Z0000002-508704 BOM triển khai'!$G$3:$H$32,2,0)</f>
        <v>Phanh trục</v>
      </c>
      <c r="I4" s="7">
        <f t="shared" ref="I4:I34" si="0">C4*$I$1</f>
        <v>48</v>
      </c>
      <c r="J4" s="7"/>
      <c r="K4" s="7" t="s">
        <v>7</v>
      </c>
      <c r="L4" s="7"/>
      <c r="M4" s="7" t="s">
        <v>7</v>
      </c>
      <c r="N4" s="7" t="s">
        <v>7</v>
      </c>
      <c r="O4" s="7"/>
      <c r="P4" s="7" t="s">
        <v>7</v>
      </c>
      <c r="Q4" s="7" t="s">
        <v>7</v>
      </c>
      <c r="R4" s="7"/>
      <c r="S4" s="7" t="str">
        <f t="shared" ref="S4:S34" si="1">G4</f>
        <v>1.0 X 10.0 X 13.0</v>
      </c>
    </row>
    <row r="5" spans="1:19" s="4" customFormat="1" ht="46.9" hidden="1" customHeight="1" x14ac:dyDescent="0.25">
      <c r="A5" s="3" t="s">
        <v>7</v>
      </c>
      <c r="B5" s="13" t="s">
        <v>453</v>
      </c>
      <c r="C5" s="7" t="s">
        <v>13</v>
      </c>
      <c r="D5" s="7" t="s">
        <v>70</v>
      </c>
      <c r="E5" s="7" t="str">
        <f>VLOOKUP(G5,'Z0000002-508704 BOM triển khai'!$G$3:$R$32,12,0)</f>
        <v>phanh trục STWN10</v>
      </c>
      <c r="F5" s="7" t="s">
        <v>7</v>
      </c>
      <c r="G5" s="7" t="s">
        <v>71</v>
      </c>
      <c r="H5" s="7" t="str">
        <f>VLOOKUP(G5,'Z0000002-508704 BOM triển khai'!$G$3:$H$32,2,0)</f>
        <v>Phanh trục</v>
      </c>
      <c r="I5" s="7">
        <f t="shared" si="0"/>
        <v>12</v>
      </c>
      <c r="J5" s="7"/>
      <c r="K5" s="7" t="s">
        <v>7</v>
      </c>
      <c r="L5" s="7"/>
      <c r="M5" s="7" t="s">
        <v>7</v>
      </c>
      <c r="N5" s="7" t="s">
        <v>7</v>
      </c>
      <c r="O5" s="7"/>
      <c r="P5" s="7" t="s">
        <v>7</v>
      </c>
      <c r="Q5" s="7" t="s">
        <v>7</v>
      </c>
      <c r="R5" s="7"/>
      <c r="S5" s="7" t="str">
        <f t="shared" si="1"/>
        <v>1.0 X 15.0 X 13.0</v>
      </c>
    </row>
    <row r="6" spans="1:19" s="4" customFormat="1" ht="46.9" hidden="1" customHeight="1" x14ac:dyDescent="0.25">
      <c r="A6" s="3" t="s">
        <v>7</v>
      </c>
      <c r="B6" s="13" t="s">
        <v>454</v>
      </c>
      <c r="C6" s="7" t="s">
        <v>52</v>
      </c>
      <c r="D6" s="7" t="s">
        <v>53</v>
      </c>
      <c r="E6" s="7" t="str">
        <f>VLOOKUP(G6,'Z0000002-508704 BOM triển khai'!$G$3:$R$32,12,0)</f>
        <v>Vòng bi SB688ZZ --&gt; đổi sang C-SE688ZZ</v>
      </c>
      <c r="F6" s="7" t="s">
        <v>7</v>
      </c>
      <c r="G6" s="7" t="s">
        <v>54</v>
      </c>
      <c r="H6" s="7" t="str">
        <f>VLOOKUP(G6,'Z0000002-508704 BOM triển khai'!$G$3:$H$32,2,0)</f>
        <v>VB C-SE688ZZ</v>
      </c>
      <c r="I6" s="7">
        <f t="shared" si="0"/>
        <v>96</v>
      </c>
      <c r="J6" s="7"/>
      <c r="K6" s="7" t="s">
        <v>7</v>
      </c>
      <c r="L6" s="7"/>
      <c r="M6" s="7" t="s">
        <v>7</v>
      </c>
      <c r="N6" s="7" t="s">
        <v>7</v>
      </c>
      <c r="O6" s="7"/>
      <c r="P6" s="7" t="s">
        <v>7</v>
      </c>
      <c r="Q6" s="7" t="s">
        <v>7</v>
      </c>
      <c r="R6" s="7"/>
      <c r="S6" s="7" t="str">
        <f t="shared" si="1"/>
        <v>16.0 X 5.0 X 16.0</v>
      </c>
    </row>
    <row r="7" spans="1:19" s="4" customFormat="1" ht="46.9" hidden="1" customHeight="1" x14ac:dyDescent="0.25">
      <c r="A7" s="3" t="s">
        <v>7</v>
      </c>
      <c r="B7" s="13" t="s">
        <v>455</v>
      </c>
      <c r="C7" s="7" t="s">
        <v>13</v>
      </c>
      <c r="D7" s="7" t="s">
        <v>68</v>
      </c>
      <c r="E7" s="7" t="str">
        <f>VLOOKUP(G7,'Z0000002-508704 BOM triển khai'!$G$3:$R$32,12,0)</f>
        <v>Vòng bi SB6000ZZ --&gt; đổi sang C-SE6000ZZ</v>
      </c>
      <c r="F7" s="7" t="s">
        <v>7</v>
      </c>
      <c r="G7" s="7" t="s">
        <v>69</v>
      </c>
      <c r="H7" s="7" t="str">
        <f>VLOOKUP(G7,'Z0000002-508704 BOM triển khai'!$G$3:$H$32,2,0)</f>
        <v>VB C-SE6000ZZ</v>
      </c>
      <c r="I7" s="7">
        <f t="shared" si="0"/>
        <v>12</v>
      </c>
      <c r="J7" s="7"/>
      <c r="K7" s="7" t="s">
        <v>7</v>
      </c>
      <c r="L7" s="7"/>
      <c r="M7" s="7" t="s">
        <v>7</v>
      </c>
      <c r="N7" s="7" t="s">
        <v>7</v>
      </c>
      <c r="O7" s="7"/>
      <c r="P7" s="7" t="s">
        <v>7</v>
      </c>
      <c r="Q7" s="7" t="s">
        <v>7</v>
      </c>
      <c r="R7" s="7"/>
      <c r="S7" s="7" t="str">
        <f t="shared" si="1"/>
        <v>26.0 X 8.0 X 26.0</v>
      </c>
    </row>
    <row r="8" spans="1:19" s="4" customFormat="1" ht="46.9" hidden="1" customHeight="1" x14ac:dyDescent="0.25">
      <c r="A8" s="3" t="s">
        <v>7</v>
      </c>
      <c r="B8" s="13" t="s">
        <v>456</v>
      </c>
      <c r="C8" s="7" t="s">
        <v>8</v>
      </c>
      <c r="D8" s="7" t="s">
        <v>169</v>
      </c>
      <c r="E8" s="7" t="str">
        <f>VLOOKUP(G8,'Z0000002-508704 BOM triển khai'!$G$3:$R$32,12,0)</f>
        <v>HTPA18S5M100-B-N10-FC30.0 đổi sang HTPA18S5M150-B-N10-FC30.0</v>
      </c>
      <c r="F8" s="7" t="s">
        <v>7</v>
      </c>
      <c r="G8" s="7" t="s">
        <v>73</v>
      </c>
      <c r="H8" s="7" t="str">
        <f>VLOOKUP(G8,'Z0000002-508704 BOM triển khai'!$G$3:$H$32,2,0)</f>
        <v>UP</v>
      </c>
      <c r="I8" s="7">
        <f t="shared" si="0"/>
        <v>6</v>
      </c>
      <c r="J8" s="7"/>
      <c r="K8" s="7" t="s">
        <v>7</v>
      </c>
      <c r="L8" s="7"/>
      <c r="M8" s="7" t="s">
        <v>7</v>
      </c>
      <c r="N8" s="7" t="s">
        <v>7</v>
      </c>
      <c r="O8" s="7"/>
      <c r="P8" s="7" t="s">
        <v>7</v>
      </c>
      <c r="Q8" s="7" t="s">
        <v>7</v>
      </c>
      <c r="R8" s="7"/>
      <c r="S8" s="7" t="str">
        <f t="shared" si="1"/>
        <v>28.0 X 30.0 X 30.0</v>
      </c>
    </row>
    <row r="9" spans="1:19" s="4" customFormat="1" ht="46.9" hidden="1" customHeight="1" x14ac:dyDescent="0.25">
      <c r="A9" s="3" t="s">
        <v>7</v>
      </c>
      <c r="B9" s="13" t="s">
        <v>457</v>
      </c>
      <c r="C9" s="7" t="s">
        <v>8</v>
      </c>
      <c r="D9" s="7" t="s">
        <v>170</v>
      </c>
      <c r="E9" s="7" t="str">
        <f>VLOOKUP(G9,'Z0000002-508704 BOM triển khai'!$G$3:$R$32,12,0)</f>
        <v>HTPA18S5M100-A-N8-FC30.0 đổi sang HTPA18S5M150-A-N8-FC30.0</v>
      </c>
      <c r="F9" s="7" t="s">
        <v>7</v>
      </c>
      <c r="G9" s="7" t="s">
        <v>21</v>
      </c>
      <c r="H9" s="7" t="str">
        <f>VLOOKUP(G9,'Z0000002-508704 BOM triển khai'!$G$3:$H$32,2,0)</f>
        <v>UP</v>
      </c>
      <c r="I9" s="7">
        <f t="shared" si="0"/>
        <v>6</v>
      </c>
      <c r="J9" s="7"/>
      <c r="K9" s="7" t="s">
        <v>7</v>
      </c>
      <c r="L9" s="7"/>
      <c r="M9" s="7" t="s">
        <v>7</v>
      </c>
      <c r="N9" s="7" t="s">
        <v>7</v>
      </c>
      <c r="O9" s="7"/>
      <c r="P9" s="7" t="s">
        <v>7</v>
      </c>
      <c r="Q9" s="7" t="s">
        <v>7</v>
      </c>
      <c r="R9" s="7"/>
      <c r="S9" s="7" t="str">
        <f t="shared" si="1"/>
        <v>31.0 X 16.0 X 31.0</v>
      </c>
    </row>
    <row r="10" spans="1:19" s="4" customFormat="1" ht="46.9" hidden="1" customHeight="1" x14ac:dyDescent="0.25">
      <c r="A10" s="3" t="s">
        <v>7</v>
      </c>
      <c r="B10" s="13" t="s">
        <v>458</v>
      </c>
      <c r="C10" s="7" t="s">
        <v>13</v>
      </c>
      <c r="D10" s="7" t="s">
        <v>216</v>
      </c>
      <c r="E10" s="7" t="str">
        <f>VLOOKUP(G10,'Z0000002-508704 BOM triển khai'!$G$3:$R$32,12,0)</f>
        <v>AL6061 anode đen</v>
      </c>
      <c r="F10" s="7" t="s">
        <v>7</v>
      </c>
      <c r="G10" s="7" t="s">
        <v>81</v>
      </c>
      <c r="H10" s="7" t="str">
        <f>VLOOKUP(G10,'Z0000002-508704 BOM triển khai'!$G$3:$H$32,2,0)</f>
        <v>GTAM</v>
      </c>
      <c r="I10" s="7">
        <f t="shared" si="0"/>
        <v>12</v>
      </c>
      <c r="J10" s="7"/>
      <c r="K10" s="7" t="s">
        <v>536</v>
      </c>
      <c r="L10" s="7"/>
      <c r="M10" s="7" t="s">
        <v>7</v>
      </c>
      <c r="N10" s="7" t="s">
        <v>7</v>
      </c>
      <c r="O10" s="7"/>
      <c r="P10" s="7" t="s">
        <v>7</v>
      </c>
      <c r="Q10" s="7" t="s">
        <v>7</v>
      </c>
      <c r="R10" s="7"/>
      <c r="S10" s="7" t="str">
        <f t="shared" si="1"/>
        <v>22.0 X 8.0 X 35.0</v>
      </c>
    </row>
    <row r="11" spans="1:19" s="4" customFormat="1" ht="46.9" hidden="1" customHeight="1" x14ac:dyDescent="0.25">
      <c r="A11" s="3" t="s">
        <v>7</v>
      </c>
      <c r="B11" s="13" t="s">
        <v>459</v>
      </c>
      <c r="C11" s="7" t="s">
        <v>13</v>
      </c>
      <c r="D11" s="7" t="s">
        <v>217</v>
      </c>
      <c r="E11" s="7" t="str">
        <f>VLOOKUP(G11,'Z0000002-508704 BOM triển khai'!$G$3:$R$32,12,0)</f>
        <v>AL6061 anode đen</v>
      </c>
      <c r="F11" s="7" t="s">
        <v>7</v>
      </c>
      <c r="G11" s="7" t="s">
        <v>37</v>
      </c>
      <c r="H11" s="7" t="str">
        <f>VLOOKUP(G11,'Z0000002-508704 BOM triển khai'!$G$3:$H$32,2,0)</f>
        <v>GTAM</v>
      </c>
      <c r="I11" s="7">
        <f t="shared" si="0"/>
        <v>12</v>
      </c>
      <c r="J11" s="7"/>
      <c r="K11" s="7" t="s">
        <v>536</v>
      </c>
      <c r="L11" s="7"/>
      <c r="M11" s="7" t="s">
        <v>7</v>
      </c>
      <c r="N11" s="7" t="s">
        <v>7</v>
      </c>
      <c r="O11" s="7"/>
      <c r="P11" s="7" t="s">
        <v>7</v>
      </c>
      <c r="Q11" s="7" t="s">
        <v>7</v>
      </c>
      <c r="R11" s="7"/>
      <c r="S11" s="7" t="str">
        <f t="shared" si="1"/>
        <v>15.0 X 8.0 X 35.0</v>
      </c>
    </row>
    <row r="12" spans="1:19" s="4" customFormat="1" ht="46.9" hidden="1" customHeight="1" x14ac:dyDescent="0.25">
      <c r="A12" s="3" t="s">
        <v>7</v>
      </c>
      <c r="B12" s="13" t="s">
        <v>460</v>
      </c>
      <c r="C12" s="7" t="s">
        <v>49</v>
      </c>
      <c r="D12" s="7" t="s">
        <v>218</v>
      </c>
      <c r="E12" s="7" t="str">
        <f>VLOOKUP(G12,'Z0000002-508704 BOM triển khai'!$G$3:$R$32,12,0)</f>
        <v>SUS304, điện hóa</v>
      </c>
      <c r="F12" s="7" t="s">
        <v>7</v>
      </c>
      <c r="G12" s="7" t="s">
        <v>63</v>
      </c>
      <c r="H12" s="7" t="str">
        <f>VLOOKUP(G12,'Z0000002-508704 BOM triển khai'!$G$3:$H$32,2,0)</f>
        <v>TT</v>
      </c>
      <c r="I12" s="7">
        <f t="shared" si="0"/>
        <v>24</v>
      </c>
      <c r="J12" s="7"/>
      <c r="K12" s="7" t="s">
        <v>7</v>
      </c>
      <c r="L12" s="7"/>
      <c r="M12" s="7" t="s">
        <v>7</v>
      </c>
      <c r="N12" s="7" t="s">
        <v>7</v>
      </c>
      <c r="O12" s="7"/>
      <c r="P12" s="7" t="s">
        <v>7</v>
      </c>
      <c r="Q12" s="7" t="s">
        <v>7</v>
      </c>
      <c r="R12" s="7"/>
      <c r="S12" s="7" t="str">
        <f t="shared" si="1"/>
        <v>12.0 X 29.0 X 12.0</v>
      </c>
    </row>
    <row r="13" spans="1:19" s="4" customFormat="1" ht="46.9" hidden="1" customHeight="1" x14ac:dyDescent="0.25">
      <c r="A13" s="3" t="s">
        <v>7</v>
      </c>
      <c r="B13" s="13" t="s">
        <v>461</v>
      </c>
      <c r="C13" s="7" t="s">
        <v>49</v>
      </c>
      <c r="D13" s="7" t="s">
        <v>219</v>
      </c>
      <c r="E13" s="7" t="str">
        <f>VLOOKUP(G13,'Z0000002-508704 BOM triển khai'!$G$3:$R$32,12,0)</f>
        <v>Rulo</v>
      </c>
      <c r="F13" s="7" t="s">
        <v>7</v>
      </c>
      <c r="G13" s="7" t="s">
        <v>61</v>
      </c>
      <c r="H13" s="7" t="str">
        <f>VLOOKUP(G13,'Z0000002-508704 BOM triển khai'!$G$3:$H$32,2,0)</f>
        <v>TT</v>
      </c>
      <c r="I13" s="7">
        <f t="shared" si="0"/>
        <v>24</v>
      </c>
      <c r="J13" s="7"/>
      <c r="K13" s="7" t="s">
        <v>7</v>
      </c>
      <c r="L13" s="7"/>
      <c r="M13" s="7" t="s">
        <v>7</v>
      </c>
      <c r="N13" s="7" t="s">
        <v>7</v>
      </c>
      <c r="O13" s="7"/>
      <c r="P13" s="7" t="s">
        <v>7</v>
      </c>
      <c r="Q13" s="7" t="s">
        <v>7</v>
      </c>
      <c r="R13" s="7"/>
      <c r="S13" s="7" t="str">
        <f t="shared" si="1"/>
        <v>21.0 X 20.0 X 21.0</v>
      </c>
    </row>
    <row r="14" spans="1:19" s="4" customFormat="1" ht="46.9" hidden="1" customHeight="1" x14ac:dyDescent="0.25">
      <c r="A14" s="3" t="s">
        <v>7</v>
      </c>
      <c r="B14" s="13" t="s">
        <v>462</v>
      </c>
      <c r="C14" s="7" t="s">
        <v>8</v>
      </c>
      <c r="D14" s="7" t="s">
        <v>220</v>
      </c>
      <c r="E14" s="7" t="str">
        <f>VLOOKUP(G14,'Z0000002-508704 BOM triển khai'!$G$3:$R$32,12,0)</f>
        <v>Rulo</v>
      </c>
      <c r="F14" s="7" t="s">
        <v>7</v>
      </c>
      <c r="G14" s="7" t="s">
        <v>67</v>
      </c>
      <c r="H14" s="7" t="str">
        <f>VLOOKUP(G14,'Z0000002-508704 BOM triển khai'!$G$3:$H$32,2,0)</f>
        <v>TT</v>
      </c>
      <c r="I14" s="7">
        <f t="shared" si="0"/>
        <v>6</v>
      </c>
      <c r="J14" s="7"/>
      <c r="K14" s="7" t="s">
        <v>7</v>
      </c>
      <c r="L14" s="7"/>
      <c r="M14" s="7" t="s">
        <v>7</v>
      </c>
      <c r="N14" s="7" t="s">
        <v>7</v>
      </c>
      <c r="O14" s="7"/>
      <c r="P14" s="7" t="s">
        <v>7</v>
      </c>
      <c r="Q14" s="7" t="s">
        <v>7</v>
      </c>
      <c r="R14" s="7"/>
      <c r="S14" s="7" t="str">
        <f t="shared" si="1"/>
        <v>34.0 X 31.0 X 34.0</v>
      </c>
    </row>
    <row r="15" spans="1:19" s="4" customFormat="1" ht="46.9" hidden="1" customHeight="1" x14ac:dyDescent="0.25">
      <c r="A15" s="3" t="s">
        <v>7</v>
      </c>
      <c r="B15" s="13" t="s">
        <v>463</v>
      </c>
      <c r="C15" s="7" t="s">
        <v>13</v>
      </c>
      <c r="D15" s="7" t="s">
        <v>221</v>
      </c>
      <c r="E15" s="7" t="s">
        <v>492</v>
      </c>
      <c r="F15" s="7" t="s">
        <v>7</v>
      </c>
      <c r="G15" s="7" t="s">
        <v>222</v>
      </c>
      <c r="H15" s="7" t="str">
        <f>H11</f>
        <v>GTAM</v>
      </c>
      <c r="I15" s="7">
        <f t="shared" si="0"/>
        <v>12</v>
      </c>
      <c r="J15" s="7"/>
      <c r="K15" s="7" t="s">
        <v>532</v>
      </c>
      <c r="L15" s="7"/>
      <c r="M15" s="7" t="s">
        <v>7</v>
      </c>
      <c r="N15" s="7" t="s">
        <v>7</v>
      </c>
      <c r="O15" s="7"/>
      <c r="P15" s="7" t="s">
        <v>7</v>
      </c>
      <c r="Q15" s="7" t="s">
        <v>7</v>
      </c>
      <c r="R15" s="7"/>
      <c r="S15" s="7" t="str">
        <f t="shared" si="1"/>
        <v>275.0 X 15.0 X 10.0</v>
      </c>
    </row>
    <row r="16" spans="1:19" s="4" customFormat="1" ht="46.9" hidden="1" customHeight="1" x14ac:dyDescent="0.25">
      <c r="A16" s="3" t="s">
        <v>7</v>
      </c>
      <c r="B16" s="13" t="s">
        <v>464</v>
      </c>
      <c r="C16" s="7" t="s">
        <v>13</v>
      </c>
      <c r="D16" s="7" t="s">
        <v>223</v>
      </c>
      <c r="E16" s="7" t="str">
        <f>VLOOKUP(G16,'Z0000002-508704 BOM triển khai'!$G$3:$R$32,12,0)</f>
        <v>SUS304, điện hóa</v>
      </c>
      <c r="F16" s="7" t="s">
        <v>7</v>
      </c>
      <c r="G16" s="7" t="s">
        <v>56</v>
      </c>
      <c r="H16" s="7" t="str">
        <f>VLOOKUP(G16,'Z0000002-508704 BOM triển khai'!$G$3:$H$32,2,0)</f>
        <v>TT</v>
      </c>
      <c r="I16" s="7">
        <f t="shared" si="0"/>
        <v>12</v>
      </c>
      <c r="J16" s="7"/>
      <c r="K16" s="7" t="s">
        <v>7</v>
      </c>
      <c r="L16" s="7"/>
      <c r="M16" s="7" t="s">
        <v>7</v>
      </c>
      <c r="N16" s="7" t="s">
        <v>7</v>
      </c>
      <c r="O16" s="7"/>
      <c r="P16" s="7" t="s">
        <v>7</v>
      </c>
      <c r="Q16" s="7" t="s">
        <v>7</v>
      </c>
      <c r="R16" s="7"/>
      <c r="S16" s="7" t="str">
        <f t="shared" si="1"/>
        <v>12.0 X 30.0 X 12.0</v>
      </c>
    </row>
    <row r="17" spans="1:19" s="4" customFormat="1" ht="46.9" hidden="1" customHeight="1" x14ac:dyDescent="0.25">
      <c r="A17" s="3" t="s">
        <v>7</v>
      </c>
      <c r="B17" s="13" t="s">
        <v>465</v>
      </c>
      <c r="C17" s="7" t="s">
        <v>13</v>
      </c>
      <c r="D17" s="7" t="s">
        <v>224</v>
      </c>
      <c r="E17" s="7" t="str">
        <f>VLOOKUP(G17,'Z0000002-508704 BOM triển khai'!$G$3:$R$32,12,0)</f>
        <v>PB108</v>
      </c>
      <c r="F17" s="7" t="s">
        <v>7</v>
      </c>
      <c r="G17" s="7" t="s">
        <v>157</v>
      </c>
      <c r="H17" s="7" t="str">
        <f>VLOOKUP(G17,'Z0000002-508704 BOM triển khai'!$G$3:$H$32,2,0)</f>
        <v>GTAM</v>
      </c>
      <c r="I17" s="7">
        <f t="shared" si="0"/>
        <v>12</v>
      </c>
      <c r="J17" s="7"/>
      <c r="K17" s="7" t="s">
        <v>532</v>
      </c>
      <c r="L17" s="7"/>
      <c r="M17" s="7" t="s">
        <v>7</v>
      </c>
      <c r="N17" s="7" t="s">
        <v>7</v>
      </c>
      <c r="O17" s="7"/>
      <c r="P17" s="7" t="s">
        <v>7</v>
      </c>
      <c r="Q17" s="7" t="s">
        <v>7</v>
      </c>
      <c r="R17" s="7"/>
      <c r="S17" s="7" t="str">
        <f t="shared" si="1"/>
        <v>224.0 X 26.0 X 16.0</v>
      </c>
    </row>
    <row r="18" spans="1:19" s="4" customFormat="1" ht="46.9" hidden="1" customHeight="1" x14ac:dyDescent="0.25">
      <c r="A18" s="3" t="s">
        <v>7</v>
      </c>
      <c r="B18" s="13" t="s">
        <v>466</v>
      </c>
      <c r="C18" s="7" t="s">
        <v>13</v>
      </c>
      <c r="D18" s="7" t="s">
        <v>225</v>
      </c>
      <c r="E18" s="7" t="str">
        <f>VLOOKUP(G18,'Z0000002-508704 BOM triển khai'!$G$3:$R$32,12,0)</f>
        <v>SUS304, điện hóa</v>
      </c>
      <c r="F18" s="7" t="s">
        <v>7</v>
      </c>
      <c r="G18" s="7" t="s">
        <v>78</v>
      </c>
      <c r="H18" s="7" t="str">
        <f>VLOOKUP(G18,'Z0000002-508704 BOM triển khai'!$G$3:$H$32,2,0)</f>
        <v>TT</v>
      </c>
      <c r="I18" s="7">
        <f t="shared" si="0"/>
        <v>12</v>
      </c>
      <c r="J18" s="7"/>
      <c r="K18" s="7" t="s">
        <v>7</v>
      </c>
      <c r="L18" s="7"/>
      <c r="M18" s="7" t="s">
        <v>7</v>
      </c>
      <c r="N18" s="7" t="s">
        <v>7</v>
      </c>
      <c r="O18" s="7"/>
      <c r="P18" s="7" t="s">
        <v>7</v>
      </c>
      <c r="Q18" s="7" t="s">
        <v>7</v>
      </c>
      <c r="R18" s="7"/>
      <c r="S18" s="7" t="str">
        <f t="shared" si="1"/>
        <v>12.0 X 34.0 X 12.0</v>
      </c>
    </row>
    <row r="19" spans="1:19" s="4" customFormat="1" ht="46.9" hidden="1" customHeight="1" x14ac:dyDescent="0.25">
      <c r="A19" s="3" t="s">
        <v>7</v>
      </c>
      <c r="B19" s="13" t="s">
        <v>467</v>
      </c>
      <c r="C19" s="7" t="s">
        <v>49</v>
      </c>
      <c r="D19" s="7" t="s">
        <v>226</v>
      </c>
      <c r="E19" s="7" t="str">
        <f>VLOOKUP(G19,'Z0000002-508704 BOM triển khai'!$G$3:$R$32,12,0)</f>
        <v>Rulo</v>
      </c>
      <c r="F19" s="7" t="s">
        <v>7</v>
      </c>
      <c r="G19" s="7" t="s">
        <v>51</v>
      </c>
      <c r="H19" s="7" t="str">
        <f>VLOOKUP(G19,'Z0000002-508704 BOM triển khai'!$G$3:$H$32,2,0)</f>
        <v>TT</v>
      </c>
      <c r="I19" s="7">
        <f t="shared" si="0"/>
        <v>24</v>
      </c>
      <c r="J19" s="7"/>
      <c r="K19" s="7" t="s">
        <v>7</v>
      </c>
      <c r="L19" s="7"/>
      <c r="M19" s="7" t="s">
        <v>7</v>
      </c>
      <c r="N19" s="7" t="s">
        <v>7</v>
      </c>
      <c r="O19" s="7"/>
      <c r="P19" s="7" t="s">
        <v>7</v>
      </c>
      <c r="Q19" s="7" t="s">
        <v>7</v>
      </c>
      <c r="R19" s="7"/>
      <c r="S19" s="7" t="str">
        <f t="shared" si="1"/>
        <v>24.0 X 23.0 X 24.0</v>
      </c>
    </row>
    <row r="20" spans="1:19" s="4" customFormat="1" ht="46.9" hidden="1" customHeight="1" x14ac:dyDescent="0.25">
      <c r="A20" s="3" t="s">
        <v>7</v>
      </c>
      <c r="B20" s="13" t="s">
        <v>468</v>
      </c>
      <c r="C20" s="7" t="s">
        <v>8</v>
      </c>
      <c r="D20" s="7" t="s">
        <v>227</v>
      </c>
      <c r="E20" s="7" t="str">
        <f>VLOOKUP(G20,'Z0000002-508704 BOM triển khai'!$G$3:$R$32,12,0)</f>
        <v>Rulo</v>
      </c>
      <c r="F20" s="7" t="s">
        <v>7</v>
      </c>
      <c r="G20" s="7" t="s">
        <v>67</v>
      </c>
      <c r="H20" s="7" t="str">
        <f>VLOOKUP(G20,'Z0000002-508704 BOM triển khai'!$G$3:$H$32,2,0)</f>
        <v>TT</v>
      </c>
      <c r="I20" s="7">
        <f t="shared" si="0"/>
        <v>6</v>
      </c>
      <c r="J20" s="7"/>
      <c r="K20" s="7" t="s">
        <v>7</v>
      </c>
      <c r="L20" s="7"/>
      <c r="M20" s="7" t="s">
        <v>7</v>
      </c>
      <c r="N20" s="7" t="s">
        <v>7</v>
      </c>
      <c r="O20" s="7"/>
      <c r="P20" s="7" t="s">
        <v>7</v>
      </c>
      <c r="Q20" s="7" t="s">
        <v>7</v>
      </c>
      <c r="R20" s="7"/>
      <c r="S20" s="7" t="str">
        <f t="shared" si="1"/>
        <v>34.0 X 31.0 X 34.0</v>
      </c>
    </row>
    <row r="21" spans="1:19" s="4" customFormat="1" ht="46.9" hidden="1" customHeight="1" x14ac:dyDescent="0.25">
      <c r="A21" s="3" t="s">
        <v>7</v>
      </c>
      <c r="B21" s="13" t="s">
        <v>469</v>
      </c>
      <c r="C21" s="7" t="s">
        <v>8</v>
      </c>
      <c r="D21" s="7" t="s">
        <v>228</v>
      </c>
      <c r="E21" s="7" t="str">
        <f>VLOOKUP(G21,'Z0000002-508704 BOM triển khai'!$G$3:$R$32,12,0)</f>
        <v>Trục</v>
      </c>
      <c r="F21" s="7" t="s">
        <v>7</v>
      </c>
      <c r="G21" s="7" t="s">
        <v>65</v>
      </c>
      <c r="H21" s="7" t="str">
        <f>VLOOKUP(G21,'Z0000002-508704 BOM triển khai'!$G$3:$H$32,2,0)</f>
        <v>TT</v>
      </c>
      <c r="I21" s="7">
        <f t="shared" si="0"/>
        <v>6</v>
      </c>
      <c r="J21" s="7"/>
      <c r="K21" s="7" t="s">
        <v>7</v>
      </c>
      <c r="L21" s="7"/>
      <c r="M21" s="7" t="s">
        <v>7</v>
      </c>
      <c r="N21" s="7" t="s">
        <v>7</v>
      </c>
      <c r="O21" s="7"/>
      <c r="P21" s="7" t="s">
        <v>7</v>
      </c>
      <c r="Q21" s="7" t="s">
        <v>7</v>
      </c>
      <c r="R21" s="7"/>
      <c r="S21" s="7" t="str">
        <f t="shared" si="1"/>
        <v>11.0 X 10.0 X 205.0</v>
      </c>
    </row>
    <row r="22" spans="1:19" s="4" customFormat="1" ht="46.9" hidden="1" customHeight="1" x14ac:dyDescent="0.25">
      <c r="A22" s="3" t="s">
        <v>7</v>
      </c>
      <c r="B22" s="13" t="s">
        <v>470</v>
      </c>
      <c r="C22" s="7" t="s">
        <v>8</v>
      </c>
      <c r="D22" s="7" t="s">
        <v>229</v>
      </c>
      <c r="E22" s="7" t="str">
        <f>VLOOKUP(G22,'Z0000002-508704 BOM triển khai'!$G$3:$R$32,12,0)</f>
        <v>AL6061 anode đen</v>
      </c>
      <c r="F22" s="7" t="s">
        <v>7</v>
      </c>
      <c r="G22" s="7" t="s">
        <v>151</v>
      </c>
      <c r="H22" s="7" t="str">
        <f>VLOOKUP(G22,'Z0000002-508704 BOM triển khai'!$G$3:$H$32,2,0)</f>
        <v>GTAM</v>
      </c>
      <c r="I22" s="7">
        <f t="shared" si="0"/>
        <v>6</v>
      </c>
      <c r="J22" s="7"/>
      <c r="K22" s="7" t="s">
        <v>536</v>
      </c>
      <c r="L22" s="7"/>
      <c r="M22" s="7" t="s">
        <v>7</v>
      </c>
      <c r="N22" s="7" t="s">
        <v>7</v>
      </c>
      <c r="O22" s="7"/>
      <c r="P22" s="7" t="s">
        <v>7</v>
      </c>
      <c r="Q22" s="7" t="s">
        <v>7</v>
      </c>
      <c r="R22" s="7"/>
      <c r="S22" s="7" t="str">
        <f t="shared" si="1"/>
        <v>275.0 X 12.0 X 89.0</v>
      </c>
    </row>
    <row r="23" spans="1:19" s="4" customFormat="1" ht="46.9" hidden="1" customHeight="1" x14ac:dyDescent="0.25">
      <c r="A23" s="3" t="s">
        <v>7</v>
      </c>
      <c r="B23" s="13" t="s">
        <v>471</v>
      </c>
      <c r="C23" s="7" t="s">
        <v>8</v>
      </c>
      <c r="D23" s="7" t="s">
        <v>230</v>
      </c>
      <c r="E23" s="7" t="str">
        <f>VLOOKUP(G23,'Z0000002-508704 BOM triển khai'!$G$3:$R$32,12,0)</f>
        <v>AL6061 anode đen</v>
      </c>
      <c r="F23" s="7" t="s">
        <v>7</v>
      </c>
      <c r="G23" s="7" t="s">
        <v>151</v>
      </c>
      <c r="H23" s="7" t="str">
        <f>VLOOKUP(G23,'Z0000002-508704 BOM triển khai'!$G$3:$H$32,2,0)</f>
        <v>GTAM</v>
      </c>
      <c r="I23" s="7">
        <f t="shared" si="0"/>
        <v>6</v>
      </c>
      <c r="J23" s="7"/>
      <c r="K23" s="7" t="s">
        <v>536</v>
      </c>
      <c r="L23" s="7"/>
      <c r="M23" s="7" t="s">
        <v>7</v>
      </c>
      <c r="N23" s="7" t="s">
        <v>7</v>
      </c>
      <c r="O23" s="7"/>
      <c r="P23" s="7" t="s">
        <v>7</v>
      </c>
      <c r="Q23" s="7" t="s">
        <v>7</v>
      </c>
      <c r="R23" s="7"/>
      <c r="S23" s="7" t="str">
        <f t="shared" si="1"/>
        <v>275.0 X 12.0 X 89.0</v>
      </c>
    </row>
    <row r="24" spans="1:19" s="4" customFormat="1" ht="46.9" hidden="1" customHeight="1" x14ac:dyDescent="0.25">
      <c r="A24" s="3" t="s">
        <v>7</v>
      </c>
      <c r="B24" s="13" t="s">
        <v>472</v>
      </c>
      <c r="C24" s="7" t="s">
        <v>8</v>
      </c>
      <c r="D24" s="7" t="s">
        <v>231</v>
      </c>
      <c r="E24" s="7" t="str">
        <f>VLOOKUP(G24,'Z0000002-508704 BOM triển khai'!$G$3:$R$32,12,0)</f>
        <v>AL6061 anode đen</v>
      </c>
      <c r="F24" s="7" t="s">
        <v>7</v>
      </c>
      <c r="G24" s="7" t="s">
        <v>161</v>
      </c>
      <c r="H24" s="7" t="str">
        <f>VLOOKUP(G24,'Z0000002-508704 BOM triển khai'!$G$3:$H$32,2,0)</f>
        <v>GTAM</v>
      </c>
      <c r="I24" s="7">
        <f t="shared" si="0"/>
        <v>6</v>
      </c>
      <c r="J24" s="7"/>
      <c r="K24" s="7" t="s">
        <v>536</v>
      </c>
      <c r="L24" s="7"/>
      <c r="M24" s="7" t="s">
        <v>7</v>
      </c>
      <c r="N24" s="7" t="s">
        <v>7</v>
      </c>
      <c r="O24" s="7"/>
      <c r="P24" s="7" t="s">
        <v>7</v>
      </c>
      <c r="Q24" s="7" t="s">
        <v>7</v>
      </c>
      <c r="R24" s="7"/>
      <c r="S24" s="7" t="str">
        <f t="shared" si="1"/>
        <v>275.0 X 200.0 X 12.0</v>
      </c>
    </row>
    <row r="25" spans="1:19" s="4" customFormat="1" ht="46.9" hidden="1" customHeight="1" x14ac:dyDescent="0.25">
      <c r="A25" s="3" t="s">
        <v>7</v>
      </c>
      <c r="B25" s="13" t="s">
        <v>473</v>
      </c>
      <c r="C25" s="7" t="s">
        <v>13</v>
      </c>
      <c r="D25" s="7" t="s">
        <v>232</v>
      </c>
      <c r="E25" s="7" t="str">
        <f>VLOOKUP(G25,'Z0000002-508704 BOM triển khai'!$G$3:$R$32,12,0)</f>
        <v xml:space="preserve">belt PU đen, chống tĩnh điện, độ dày 1.5m, bản rộng 20mm, chu vi 650mm (đo mép trong 655mm, chốt căn chỉnh ở giữa) </v>
      </c>
      <c r="F25" s="7" t="s">
        <v>7</v>
      </c>
      <c r="G25" s="7" t="s">
        <v>155</v>
      </c>
      <c r="H25" s="7" t="str">
        <f>VLOOKUP(G25,'Z0000002-508704 BOM triển khai'!$G$3:$H$32,2,0)</f>
        <v>Belt</v>
      </c>
      <c r="I25" s="7">
        <f t="shared" si="0"/>
        <v>12</v>
      </c>
      <c r="J25" s="7"/>
      <c r="K25" s="7" t="s">
        <v>7</v>
      </c>
      <c r="L25" s="7"/>
      <c r="M25" s="7" t="s">
        <v>7</v>
      </c>
      <c r="N25" s="7" t="s">
        <v>7</v>
      </c>
      <c r="O25" s="7"/>
      <c r="P25" s="7" t="s">
        <v>7</v>
      </c>
      <c r="Q25" s="7" t="s">
        <v>7</v>
      </c>
      <c r="R25" s="7"/>
      <c r="S25" s="7" t="str">
        <f t="shared" si="1"/>
        <v>274.0 X 20.0 X 80.0</v>
      </c>
    </row>
    <row r="26" spans="1:19" s="4" customFormat="1" ht="46.9" customHeight="1" x14ac:dyDescent="0.25">
      <c r="A26" s="3" t="s">
        <v>7</v>
      </c>
      <c r="B26" s="13" t="s">
        <v>474</v>
      </c>
      <c r="C26" s="7" t="s">
        <v>74</v>
      </c>
      <c r="D26" s="7" t="s">
        <v>196</v>
      </c>
      <c r="E26" s="7" t="s">
        <v>488</v>
      </c>
      <c r="F26" s="7" t="s">
        <v>7</v>
      </c>
      <c r="G26" s="7" t="s">
        <v>197</v>
      </c>
      <c r="H26" s="7" t="s">
        <v>487</v>
      </c>
      <c r="I26" s="7">
        <f t="shared" si="0"/>
        <v>18</v>
      </c>
      <c r="J26" s="7"/>
      <c r="K26" s="7" t="s">
        <v>7</v>
      </c>
      <c r="L26" s="7"/>
      <c r="M26" s="7" t="s">
        <v>7</v>
      </c>
      <c r="N26" s="7" t="s">
        <v>7</v>
      </c>
      <c r="O26" s="7"/>
      <c r="P26" s="7" t="s">
        <v>7</v>
      </c>
      <c r="Q26" s="7" t="s">
        <v>7</v>
      </c>
      <c r="R26" s="7"/>
      <c r="S26" s="7" t="str">
        <f t="shared" si="1"/>
        <v>52.0 X 75.0 X 30.0</v>
      </c>
    </row>
    <row r="27" spans="1:19" s="4" customFormat="1" ht="46.9" hidden="1" customHeight="1" x14ac:dyDescent="0.25">
      <c r="A27" s="3" t="s">
        <v>7</v>
      </c>
      <c r="B27" s="13" t="s">
        <v>475</v>
      </c>
      <c r="C27" s="7" t="s">
        <v>8</v>
      </c>
      <c r="D27" s="7" t="s">
        <v>198</v>
      </c>
      <c r="E27" s="7" t="str">
        <f>E23</f>
        <v>AL6061 anode đen</v>
      </c>
      <c r="F27" s="7" t="s">
        <v>7</v>
      </c>
      <c r="G27" s="7" t="s">
        <v>199</v>
      </c>
      <c r="H27" s="7" t="str">
        <f>H24</f>
        <v>GTAM</v>
      </c>
      <c r="I27" s="7">
        <f t="shared" si="0"/>
        <v>6</v>
      </c>
      <c r="J27" s="7"/>
      <c r="K27" s="7" t="s">
        <v>536</v>
      </c>
      <c r="L27" s="7"/>
      <c r="M27" s="7" t="s">
        <v>7</v>
      </c>
      <c r="N27" s="7" t="s">
        <v>7</v>
      </c>
      <c r="O27" s="7"/>
      <c r="P27" s="7" t="s">
        <v>7</v>
      </c>
      <c r="Q27" s="7" t="s">
        <v>7</v>
      </c>
      <c r="R27" s="7"/>
      <c r="S27" s="7" t="str">
        <f t="shared" si="1"/>
        <v>10.0 X 63.0 X 90.0</v>
      </c>
    </row>
    <row r="28" spans="1:19" s="4" customFormat="1" ht="46.9" hidden="1" customHeight="1" x14ac:dyDescent="0.25">
      <c r="A28" s="3" t="s">
        <v>7</v>
      </c>
      <c r="B28" s="13" t="s">
        <v>476</v>
      </c>
      <c r="C28" s="7" t="s">
        <v>13</v>
      </c>
      <c r="D28" s="7" t="s">
        <v>200</v>
      </c>
      <c r="E28" s="7" t="str">
        <f>E27</f>
        <v>AL6061 anode đen</v>
      </c>
      <c r="F28" s="7" t="s">
        <v>7</v>
      </c>
      <c r="G28" s="7" t="s">
        <v>201</v>
      </c>
      <c r="H28" s="7" t="str">
        <f>H27</f>
        <v>GTAM</v>
      </c>
      <c r="I28" s="7">
        <f t="shared" si="0"/>
        <v>12</v>
      </c>
      <c r="J28" s="7"/>
      <c r="K28" s="7" t="s">
        <v>536</v>
      </c>
      <c r="L28" s="7"/>
      <c r="M28" s="7" t="s">
        <v>7</v>
      </c>
      <c r="N28" s="7" t="s">
        <v>7</v>
      </c>
      <c r="O28" s="7"/>
      <c r="P28" s="7" t="s">
        <v>7</v>
      </c>
      <c r="Q28" s="7" t="s">
        <v>7</v>
      </c>
      <c r="R28" s="7"/>
      <c r="S28" s="7" t="str">
        <f t="shared" si="1"/>
        <v>10.0 X 30.0 X 35.0</v>
      </c>
    </row>
    <row r="29" spans="1:19" s="4" customFormat="1" ht="46.9" hidden="1" customHeight="1" x14ac:dyDescent="0.25">
      <c r="A29" s="3" t="s">
        <v>7</v>
      </c>
      <c r="B29" s="13" t="s">
        <v>477</v>
      </c>
      <c r="C29" s="7" t="s">
        <v>8</v>
      </c>
      <c r="D29" s="7" t="s">
        <v>204</v>
      </c>
      <c r="E29" s="7" t="str">
        <f>E28</f>
        <v>AL6061 anode đen</v>
      </c>
      <c r="F29" s="7" t="s">
        <v>7</v>
      </c>
      <c r="G29" s="7" t="s">
        <v>205</v>
      </c>
      <c r="H29" s="7" t="str">
        <f>H28</f>
        <v>GTAM</v>
      </c>
      <c r="I29" s="7">
        <f t="shared" si="0"/>
        <v>6</v>
      </c>
      <c r="J29" s="7"/>
      <c r="K29" s="7" t="s">
        <v>536</v>
      </c>
      <c r="L29" s="7"/>
      <c r="M29" s="7" t="s">
        <v>7</v>
      </c>
      <c r="N29" s="7" t="s">
        <v>7</v>
      </c>
      <c r="O29" s="7"/>
      <c r="P29" s="7" t="s">
        <v>7</v>
      </c>
      <c r="Q29" s="7" t="s">
        <v>7</v>
      </c>
      <c r="R29" s="7"/>
      <c r="S29" s="7" t="str">
        <f t="shared" si="1"/>
        <v>56.0 X 27.0 X 18.0</v>
      </c>
    </row>
    <row r="30" spans="1:19" s="4" customFormat="1" ht="46.9" hidden="1" customHeight="1" x14ac:dyDescent="0.25">
      <c r="A30" s="3" t="s">
        <v>7</v>
      </c>
      <c r="B30" s="13" t="s">
        <v>478</v>
      </c>
      <c r="C30" s="7" t="s">
        <v>8</v>
      </c>
      <c r="D30" s="7" t="s">
        <v>206</v>
      </c>
      <c r="E30" s="7" t="s">
        <v>513</v>
      </c>
      <c r="F30" s="7" t="s">
        <v>7</v>
      </c>
      <c r="G30" s="7" t="s">
        <v>207</v>
      </c>
      <c r="H30" s="7" t="str">
        <f>H29</f>
        <v>GTAM</v>
      </c>
      <c r="I30" s="7">
        <f t="shared" si="0"/>
        <v>6</v>
      </c>
      <c r="J30" s="7"/>
      <c r="K30" s="7" t="s">
        <v>532</v>
      </c>
      <c r="L30" s="7"/>
      <c r="M30" s="7" t="s">
        <v>7</v>
      </c>
      <c r="N30" s="7" t="s">
        <v>7</v>
      </c>
      <c r="O30" s="7"/>
      <c r="P30" s="7" t="s">
        <v>7</v>
      </c>
      <c r="Q30" s="7" t="s">
        <v>7</v>
      </c>
      <c r="R30" s="7"/>
      <c r="S30" s="7" t="str">
        <f t="shared" si="1"/>
        <v>56.0 X 5.0 X 10.0</v>
      </c>
    </row>
    <row r="31" spans="1:19" s="4" customFormat="1" ht="46.9" hidden="1" customHeight="1" x14ac:dyDescent="0.25">
      <c r="A31" s="3" t="s">
        <v>7</v>
      </c>
      <c r="B31" s="13" t="s">
        <v>479</v>
      </c>
      <c r="C31" s="7" t="s">
        <v>8</v>
      </c>
      <c r="D31" s="7" t="s">
        <v>208</v>
      </c>
      <c r="E31" s="7" t="str">
        <f>E29</f>
        <v>AL6061 anode đen</v>
      </c>
      <c r="F31" s="7" t="s">
        <v>7</v>
      </c>
      <c r="G31" s="7" t="s">
        <v>209</v>
      </c>
      <c r="H31" s="7" t="str">
        <f>H30</f>
        <v>GTAM</v>
      </c>
      <c r="I31" s="7">
        <f t="shared" si="0"/>
        <v>6</v>
      </c>
      <c r="J31" s="7"/>
      <c r="K31" s="7" t="s">
        <v>536</v>
      </c>
      <c r="L31" s="7"/>
      <c r="M31" s="7" t="s">
        <v>7</v>
      </c>
      <c r="N31" s="7" t="s">
        <v>7</v>
      </c>
      <c r="O31" s="7"/>
      <c r="P31" s="7" t="s">
        <v>7</v>
      </c>
      <c r="Q31" s="7" t="s">
        <v>7</v>
      </c>
      <c r="R31" s="7"/>
      <c r="S31" s="7" t="str">
        <f t="shared" si="1"/>
        <v>10.0 X 58.0 X 48.0</v>
      </c>
    </row>
    <row r="32" spans="1:19" s="4" customFormat="1" ht="46.9" hidden="1" customHeight="1" x14ac:dyDescent="0.25">
      <c r="A32" s="3" t="s">
        <v>7</v>
      </c>
      <c r="B32" s="13" t="s">
        <v>480</v>
      </c>
      <c r="C32" s="7" t="s">
        <v>8</v>
      </c>
      <c r="D32" s="7" t="s">
        <v>210</v>
      </c>
      <c r="E32" s="7" t="str">
        <f>E31</f>
        <v>AL6061 anode đen</v>
      </c>
      <c r="F32" s="7" t="s">
        <v>7</v>
      </c>
      <c r="G32" s="7" t="s">
        <v>211</v>
      </c>
      <c r="H32" s="7" t="str">
        <f>H31</f>
        <v>GTAM</v>
      </c>
      <c r="I32" s="7">
        <f t="shared" si="0"/>
        <v>6</v>
      </c>
      <c r="J32" s="7"/>
      <c r="K32" s="7" t="s">
        <v>536</v>
      </c>
      <c r="L32" s="7"/>
      <c r="M32" s="7" t="s">
        <v>7</v>
      </c>
      <c r="N32" s="7" t="s">
        <v>7</v>
      </c>
      <c r="O32" s="7"/>
      <c r="P32" s="7" t="s">
        <v>7</v>
      </c>
      <c r="Q32" s="7" t="s">
        <v>7</v>
      </c>
      <c r="R32" s="7"/>
      <c r="S32" s="7" t="str">
        <f t="shared" si="1"/>
        <v>10.0 X 58.0 X 30.0</v>
      </c>
    </row>
    <row r="33" spans="1:19" s="4" customFormat="1" ht="46.9" hidden="1" customHeight="1" x14ac:dyDescent="0.25">
      <c r="A33" s="3" t="s">
        <v>7</v>
      </c>
      <c r="B33" s="13" t="s">
        <v>481</v>
      </c>
      <c r="C33" s="7" t="s">
        <v>8</v>
      </c>
      <c r="D33" s="7" t="s">
        <v>212</v>
      </c>
      <c r="E33" s="7" t="str">
        <f>VLOOKUP(G33,'Z0000002-508704 BOM triển khai'!$G$3:$R$32,12,0)</f>
        <v>S6I06GX-12CE và bộ đk tốc độ SUA06IX-V12</v>
      </c>
      <c r="F33" s="7" t="s">
        <v>7</v>
      </c>
      <c r="G33" s="7" t="s">
        <v>39</v>
      </c>
      <c r="H33" s="7" t="str">
        <f>VLOOKUP(G33,'Z0000002-508704 BOM triển khai'!$G$3:$H$32,2,0)</f>
        <v>SPG</v>
      </c>
      <c r="I33" s="7">
        <f t="shared" si="0"/>
        <v>6</v>
      </c>
      <c r="J33" s="7"/>
      <c r="K33" s="7" t="str">
        <f>'Z0000002-508707 BOM triển khai'!K36</f>
        <v>NG báo đã nhận 27 set, đủ lô 7CV</v>
      </c>
      <c r="L33" s="7"/>
      <c r="M33" s="7" t="s">
        <v>7</v>
      </c>
      <c r="N33" s="7" t="s">
        <v>7</v>
      </c>
      <c r="O33" s="7"/>
      <c r="P33" s="7" t="s">
        <v>7</v>
      </c>
      <c r="Q33" s="7" t="s">
        <v>7</v>
      </c>
      <c r="R33" s="7"/>
      <c r="S33" s="7" t="str">
        <f t="shared" si="1"/>
        <v>100.0 X 60.0 X 62.0</v>
      </c>
    </row>
    <row r="34" spans="1:19" s="4" customFormat="1" ht="46.9" hidden="1" customHeight="1" x14ac:dyDescent="0.25">
      <c r="A34" s="3" t="s">
        <v>7</v>
      </c>
      <c r="B34" s="13" t="s">
        <v>482</v>
      </c>
      <c r="C34" s="7" t="s">
        <v>8</v>
      </c>
      <c r="D34" s="7" t="s">
        <v>213</v>
      </c>
      <c r="E34" s="7" t="str">
        <f>VLOOKUP(G34,'Z0000002-508704 BOM triển khai'!$G$3:$R$32,12,0)</f>
        <v>hộp số S6KA15B</v>
      </c>
      <c r="F34" s="7" t="s">
        <v>7</v>
      </c>
      <c r="G34" s="7" t="s">
        <v>41</v>
      </c>
      <c r="H34" s="7" t="str">
        <f>VLOOKUP(G34,'Z0000002-508704 BOM triển khai'!$G$3:$H$32,2,0)</f>
        <v>SPG</v>
      </c>
      <c r="I34" s="7">
        <f t="shared" si="0"/>
        <v>6</v>
      </c>
      <c r="J34" s="7"/>
      <c r="K34" s="7" t="str">
        <f>K33</f>
        <v>NG báo đã nhận 27 set, đủ lô 7CV</v>
      </c>
      <c r="L34" s="7"/>
      <c r="M34" s="7" t="s">
        <v>7</v>
      </c>
      <c r="N34" s="7" t="s">
        <v>7</v>
      </c>
      <c r="O34" s="7"/>
      <c r="P34" s="7" t="s">
        <v>7</v>
      </c>
      <c r="Q34" s="7" t="s">
        <v>7</v>
      </c>
      <c r="R34" s="7"/>
      <c r="S34" s="7" t="str">
        <f t="shared" si="1"/>
        <v>60.0 X 60.0 X 63.0</v>
      </c>
    </row>
    <row r="37" spans="1:19" x14ac:dyDescent="0.25">
      <c r="H37" s="15" t="str">
        <f>'Z0000002-508707 BOM triển khai'!H40</f>
        <v>Belt</v>
      </c>
      <c r="I37" s="15" t="str">
        <f>'Z0000002-508707 BOM triển khai'!I40</f>
        <v>đã nhận đủ hàng 9/4</v>
      </c>
      <c r="J37" s="15" t="str">
        <f>'Z0000002-508707 BOM triển khai'!J40</f>
        <v>đã đặt hàng 10/4, hẹn 25/4 giao 50%, 5/5 giao nốt</v>
      </c>
      <c r="K37" s="15">
        <f>'Z0000002-508707 BOM triển khai'!K40</f>
        <v>0</v>
      </c>
    </row>
    <row r="38" spans="1:19" x14ac:dyDescent="0.25">
      <c r="H38" s="15" t="str">
        <f>'Z0000002-508707 BOM triển khai'!H41</f>
        <v>CG</v>
      </c>
      <c r="I38" s="15" t="str">
        <f>'Z0000002-508707 BOM triển khai'!I41</f>
        <v>đã xong 9/4</v>
      </c>
      <c r="J38" s="15">
        <f>'Z0000002-508707 BOM triển khai'!J41</f>
        <v>0</v>
      </c>
      <c r="K38" s="15">
        <f>'Z0000002-508707 BOM triển khai'!K41</f>
        <v>0</v>
      </c>
    </row>
    <row r="39" spans="1:19" x14ac:dyDescent="0.25">
      <c r="H39" s="15" t="str">
        <f>'Z0000002-508707 BOM triển khai'!H42</f>
        <v>Chốt cài</v>
      </c>
      <c r="I39" s="15" t="str">
        <f>'Z0000002-508707 BOM triển khai'!I42</f>
        <v>đã tồn kho</v>
      </c>
      <c r="J39" s="15" t="str">
        <f>'Z0000002-508707 BOM triển khai'!J42</f>
        <v>đã tồn kho</v>
      </c>
      <c r="K39" s="15">
        <f>'Z0000002-508707 BOM triển khai'!K42</f>
        <v>0</v>
      </c>
    </row>
    <row r="40" spans="1:19" x14ac:dyDescent="0.25">
      <c r="H40" s="15" t="str">
        <f>'Z0000002-508707 BOM triển khai'!H43</f>
        <v>GTAM</v>
      </c>
      <c r="I40" s="15" t="str">
        <f>'Z0000002-508707 BOM triển khai'!I43</f>
        <v>9/4 đã xong</v>
      </c>
      <c r="J40" s="15">
        <f>'Z0000002-508707 BOM triển khai'!J43</f>
        <v>0</v>
      </c>
      <c r="K40" s="15">
        <f>'Z0000002-508707 BOM triển khai'!K43</f>
        <v>0</v>
      </c>
    </row>
    <row r="41" spans="1:19" x14ac:dyDescent="0.25">
      <c r="H41" s="15" t="str">
        <f>'Z0000002-508707 BOM triển khai'!H44</f>
        <v>MI</v>
      </c>
      <c r="I41" s="15" t="str">
        <f>'Z0000002-508707 BOM triển khai'!I44</f>
        <v>đã chốt đặt, dự kiến về trước 10/4</v>
      </c>
      <c r="J41" s="15" t="str">
        <f>'Z0000002-508707 BOM triển khai'!J44</f>
        <v xml:space="preserve">đã nhận đủ 13/4, </v>
      </c>
      <c r="K41" s="15">
        <f>'Z0000002-508707 BOM triển khai'!K44</f>
        <v>0</v>
      </c>
    </row>
    <row r="42" spans="1:19" x14ac:dyDescent="0.25">
      <c r="H42" s="15" t="str">
        <f>'Z0000002-508707 BOM triển khai'!H45</f>
        <v>TT</v>
      </c>
      <c r="I42" s="15" t="str">
        <f>'Z0000002-508707 BOM triển khai'!I45</f>
        <v>đã giao lô đầu 30 set</v>
      </c>
      <c r="J42" s="15" t="str">
        <f>'Z0000002-508707 BOM triển khai'!J45</f>
        <v>9/4 nhận 159 bộ, thiếu rulo chủ động giao sau</v>
      </c>
      <c r="K42" s="15">
        <f>'Z0000002-508707 BOM triển khai'!K45</f>
        <v>0</v>
      </c>
    </row>
    <row r="43" spans="1:19" x14ac:dyDescent="0.25">
      <c r="H43" s="15" t="str">
        <f>'Z0000002-508707 BOM triển khai'!H46</f>
        <v>Phanh trục</v>
      </c>
      <c r="I43" s="15" t="str">
        <f>'Z0000002-508707 BOM triển khai'!I46</f>
        <v>đã tồn kho sẵn</v>
      </c>
      <c r="J43" s="15" t="str">
        <f>'Z0000002-508707 BOM triển khai'!J46</f>
        <v>đã tồn kho sẵn</v>
      </c>
      <c r="K43" s="15">
        <f>'Z0000002-508707 BOM triển khai'!K46</f>
        <v>0</v>
      </c>
    </row>
    <row r="44" spans="1:19" x14ac:dyDescent="0.25">
      <c r="H44" s="15" t="str">
        <f>'Z0000002-508707 BOM triển khai'!H47</f>
        <v>SPG</v>
      </c>
      <c r="I44" s="15" t="str">
        <f>'Z0000002-508707 BOM triển khai'!I47</f>
        <v>NG báo đã nhận 27 set, đủ lô 7CV</v>
      </c>
      <c r="J44" s="15">
        <f>'Z0000002-508707 BOM triển khai'!J47</f>
        <v>0</v>
      </c>
      <c r="K44" s="15">
        <f>'Z0000002-508707 BOM triển khai'!K47</f>
        <v>0</v>
      </c>
    </row>
    <row r="45" spans="1:19" x14ac:dyDescent="0.25">
      <c r="H45" s="15" t="str">
        <f>'Z0000002-508707 BOM triển khai'!H48</f>
        <v>UP</v>
      </c>
      <c r="I45" s="15" t="str">
        <f>'Z0000002-508707 BOM triển khai'!I48</f>
        <v>đã chốt đặt, dự kiến về trước 10/4</v>
      </c>
      <c r="J45" s="15">
        <f>'Z0000002-508707 BOM triển khai'!J48</f>
        <v>0</v>
      </c>
      <c r="K45" s="15">
        <f>'Z0000002-508707 BOM triển khai'!K48</f>
        <v>0</v>
      </c>
    </row>
    <row r="46" spans="1:19" x14ac:dyDescent="0.25">
      <c r="H46" s="15" t="str">
        <f>'Z0000002-508707 BOM triển khai'!H49</f>
        <v>VB C-SE688ZZ</v>
      </c>
      <c r="I46" s="15" t="str">
        <f>'Z0000002-508707 BOM triển khai'!I49</f>
        <v>đặt tổng 432, đã về hàng 9/4</v>
      </c>
      <c r="J46" s="15" t="str">
        <f>'Z0000002-508707 BOM triển khai'!J49</f>
        <v>Tổng lô đặt HC 2280, 14/4 về trc 630</v>
      </c>
      <c r="K46" s="15">
        <f>'Z0000002-508707 BOM triển khai'!K49</f>
        <v>0</v>
      </c>
    </row>
    <row r="47" spans="1:19" x14ac:dyDescent="0.25">
      <c r="H47" s="15" t="str">
        <f>'Z0000002-508707 BOM triển khai'!H50</f>
        <v>VB C-SE6000ZZ</v>
      </c>
      <c r="I47" s="15" t="str">
        <f>'Z0000002-508707 BOM triển khai'!I50</f>
        <v>đã nhận hàng 27/3</v>
      </c>
      <c r="J47" s="15" t="str">
        <f>'Z0000002-508707 BOM triển khai'!J50</f>
        <v>tổng lô 324, đã về đủ 13/4</v>
      </c>
      <c r="K47" s="15"/>
    </row>
    <row r="48" spans="1:19" x14ac:dyDescent="0.25">
      <c r="H48" s="15">
        <f>'Z0000002-508707 BOM triển khai'!H51</f>
        <v>0</v>
      </c>
      <c r="I48" s="15">
        <f>'Z0000002-508707 BOM triển khai'!I51</f>
        <v>0</v>
      </c>
      <c r="J48" s="15">
        <f>'Z0000002-508707 BOM triển khai'!J51</f>
        <v>0</v>
      </c>
      <c r="K48" s="15">
        <f>'Z0000002-508707 BOM triển khai'!K51</f>
        <v>0</v>
      </c>
    </row>
    <row r="49" spans="8:11" x14ac:dyDescent="0.25">
      <c r="H49" s="15">
        <f>'Z0000002-508707 BOM triển khai'!H52</f>
        <v>0</v>
      </c>
      <c r="I49" s="15">
        <f>'Z0000002-508707 BOM triển khai'!I52</f>
        <v>0</v>
      </c>
      <c r="J49" s="15">
        <f>'Z0000002-508707 BOM triển khai'!J52</f>
        <v>0</v>
      </c>
      <c r="K49" s="15">
        <f>'Z0000002-508707 BOM triển khai'!K52</f>
        <v>0</v>
      </c>
    </row>
    <row r="50" spans="8:11" x14ac:dyDescent="0.25">
      <c r="H50" s="15">
        <f>'Z0000002-508707 BOM triển khai'!H53</f>
        <v>0</v>
      </c>
      <c r="I50" s="15">
        <f>'Z0000002-508707 BOM triển khai'!I53</f>
        <v>0</v>
      </c>
      <c r="J50" s="15"/>
      <c r="K50" s="15">
        <f>'Z0000002-508707 BOM triển khai'!K53</f>
        <v>0</v>
      </c>
    </row>
    <row r="51" spans="8:11" x14ac:dyDescent="0.25">
      <c r="H51" s="15"/>
      <c r="I51" s="15"/>
      <c r="J51" s="15"/>
      <c r="K51" s="15"/>
    </row>
  </sheetData>
  <autoFilter ref="A2:I34" xr:uid="{87EBA23A-2FD9-404D-9F2D-3A80F6A8A0A7}">
    <filterColumn colId="7">
      <filters>
        <filter val="CG"/>
      </filters>
    </filterColumn>
  </autoFilter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Z0000002-508684 BOM triển k hai</vt:lpstr>
      <vt:lpstr>Z0000002-508700 BOM triển k hai</vt:lpstr>
      <vt:lpstr>Z0000002-508701 BOM triển k hai</vt:lpstr>
      <vt:lpstr>Z0000002-508703 BOM triển khai</vt:lpstr>
      <vt:lpstr>Z0000002-508704 BOM triển khai</vt:lpstr>
      <vt:lpstr>Z0000002-508707 BOM triển khai</vt:lpstr>
      <vt:lpstr>Z0000002-508708 BOM triển kh 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GTAM JSC</cp:lastModifiedBy>
  <dcterms:created xsi:type="dcterms:W3CDTF">2015-06-05T18:17:20Z</dcterms:created>
  <dcterms:modified xsi:type="dcterms:W3CDTF">2026-04-17T15:51:15Z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2026-03-25T02:10:18Z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b754d18a-6b7f-408b-acc9-7cd90d8068c7</vt:lpwstr>
  </property>
  <property fmtid="{D5CDD505-2E9C-101B-9397-08002B2CF9AE}" pid="7" name="MSIP_Label_defa4170-0d19-0005-0004-bc88714345d2_ActionId">
    <vt:lpwstr>01b7ff20-3485-4d11-9fa9-dbeb633905f5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