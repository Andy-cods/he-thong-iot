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tamtech-my.sharepoint.com/personal/int_gtam_vn/Documents/Gia cong/2026/THANG 3/18.03/"/>
    </mc:Choice>
  </mc:AlternateContent>
  <xr:revisionPtr revIDLastSave="19" documentId="8_{BCD53693-488D-4B92-B6EF-1CBA8F1F9165}" xr6:coauthVersionLast="47" xr6:coauthVersionMax="47" xr10:uidLastSave="{519DA6D0-83D9-4863-9EC8-22625FD011E8}"/>
  <bookViews>
    <workbookView xWindow="30612" yWindow="-108" windowWidth="30936" windowHeight="16776" xr2:uid="{00000000-000D-0000-FFFF-FFFF00000000}"/>
  </bookViews>
  <sheets>
    <sheet name="Z0000002-238846 BOM trien k hai" sheetId="1" r:id="rId1"/>
    <sheet name="Z0000002-238847 BOM trien khai" sheetId="2" r:id="rId2"/>
    <sheet name="Z0000002-238848 BOM trien k hai" sheetId="3" r:id="rId3"/>
    <sheet name="Z0000002-238851 BOM triển kh ai" sheetId="4" r:id="rId4"/>
  </sheets>
  <externalReferences>
    <externalReference r:id="rId5"/>
    <externalReference r:id="rId6"/>
  </externalReferences>
  <definedNames>
    <definedName name="_xlnm._FilterDatabase" localSheetId="0" hidden="1">'Z0000002-238846 BOM trien k hai'!$A$2:$I$99</definedName>
    <definedName name="_xlnm._FilterDatabase" localSheetId="1" hidden="1">'Z0000002-238847 BOM trien khai'!$A$1:$I$89</definedName>
    <definedName name="_xlnm._FilterDatabase" localSheetId="2" hidden="1">'Z0000002-238848 BOM trien k hai'!$A$2:$K$66</definedName>
    <definedName name="_xlnm._FilterDatabase" localSheetId="3" hidden="1">'Z0000002-238851 BOM triển kh ai'!$A$2:$I$76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6" i="1" l="1"/>
  <c r="F23" i="1"/>
  <c r="C123" i="1" l="1"/>
  <c r="I60" i="1" l="1"/>
  <c r="H101" i="1"/>
  <c r="G101" i="1"/>
  <c r="I21" i="1"/>
  <c r="I4" i="1"/>
  <c r="I5" i="1" s="1"/>
  <c r="I19" i="1"/>
  <c r="I27" i="1" s="1"/>
  <c r="I28" i="1" s="1"/>
  <c r="I34" i="1" s="1"/>
  <c r="I41" i="1" s="1"/>
  <c r="I51" i="1" s="1"/>
  <c r="I53" i="1" s="1"/>
  <c r="I58" i="1" s="1"/>
  <c r="I59" i="1" s="1"/>
  <c r="I65" i="1" s="1"/>
  <c r="I23" i="1"/>
  <c r="I24" i="1" s="1"/>
  <c r="I30" i="1" s="1"/>
  <c r="I39" i="1" s="1"/>
  <c r="I54" i="1" s="1"/>
  <c r="I55" i="1" s="1"/>
  <c r="I61" i="1" s="1"/>
  <c r="I70" i="1" s="1"/>
  <c r="I86" i="1" s="1"/>
  <c r="I87" i="1" s="1"/>
  <c r="I93" i="1" s="1"/>
  <c r="G106" i="1" s="1"/>
  <c r="E33" i="2"/>
  <c r="E66" i="2" s="1"/>
  <c r="E45" i="1"/>
  <c r="E82" i="1" s="1"/>
  <c r="I53" i="4"/>
  <c r="G87" i="4" s="1"/>
  <c r="G96" i="2" l="1"/>
  <c r="I17" i="3"/>
  <c r="I15" i="1"/>
  <c r="I16" i="1" s="1"/>
  <c r="I17" i="1" s="1"/>
  <c r="I18" i="1" s="1"/>
  <c r="I20" i="1" s="1"/>
  <c r="I22" i="1" s="1"/>
  <c r="I25" i="1" s="1"/>
  <c r="I26" i="1" s="1"/>
  <c r="I32" i="1" s="1"/>
  <c r="I35" i="1" s="1"/>
  <c r="I36" i="1" s="1"/>
  <c r="I37" i="1" s="1"/>
  <c r="I38" i="1" s="1"/>
  <c r="I6" i="1"/>
  <c r="I76" i="1"/>
  <c r="I81" i="1" s="1"/>
  <c r="I90" i="1" s="1"/>
  <c r="I91" i="1" s="1"/>
  <c r="I74" i="1"/>
  <c r="G85" i="4"/>
  <c r="G84" i="4"/>
  <c r="F84" i="4"/>
  <c r="H76" i="4"/>
  <c r="H75" i="4"/>
  <c r="F75" i="4"/>
  <c r="E75" i="4"/>
  <c r="H74" i="4"/>
  <c r="E74" i="4"/>
  <c r="H73" i="4"/>
  <c r="F73" i="4"/>
  <c r="I72" i="4"/>
  <c r="G82" i="4" s="1"/>
  <c r="H72" i="4"/>
  <c r="F72" i="4"/>
  <c r="F82" i="4" s="1"/>
  <c r="H71" i="4"/>
  <c r="F71" i="4"/>
  <c r="E71" i="4"/>
  <c r="H70" i="4"/>
  <c r="F70" i="4"/>
  <c r="E70" i="4"/>
  <c r="H69" i="4"/>
  <c r="H68" i="4"/>
  <c r="H67" i="4"/>
  <c r="F67" i="4"/>
  <c r="E67" i="4"/>
  <c r="H66" i="4"/>
  <c r="E66" i="4"/>
  <c r="H65" i="4"/>
  <c r="F65" i="4"/>
  <c r="E65" i="4"/>
  <c r="H64" i="4"/>
  <c r="E64" i="4"/>
  <c r="H63" i="4"/>
  <c r="H62" i="4"/>
  <c r="H61" i="4"/>
  <c r="H60" i="4"/>
  <c r="F60" i="4"/>
  <c r="E60" i="4"/>
  <c r="H59" i="4"/>
  <c r="F59" i="4"/>
  <c r="E59" i="4"/>
  <c r="H58" i="4"/>
  <c r="F58" i="4"/>
  <c r="E58" i="4"/>
  <c r="H57" i="4"/>
  <c r="F57" i="4"/>
  <c r="E57" i="4"/>
  <c r="H56" i="4"/>
  <c r="F56" i="4"/>
  <c r="E56" i="4"/>
  <c r="H55" i="4"/>
  <c r="F55" i="4"/>
  <c r="E55" i="4"/>
  <c r="H54" i="4"/>
  <c r="F54" i="4"/>
  <c r="E54" i="4"/>
  <c r="H53" i="4"/>
  <c r="F53" i="4"/>
  <c r="E53" i="4"/>
  <c r="H52" i="4"/>
  <c r="H51" i="4"/>
  <c r="F51" i="4"/>
  <c r="E51" i="4"/>
  <c r="H50" i="4"/>
  <c r="E50" i="4"/>
  <c r="H49" i="4"/>
  <c r="E49" i="4"/>
  <c r="H48" i="4"/>
  <c r="H47" i="4"/>
  <c r="H46" i="4"/>
  <c r="H45" i="4"/>
  <c r="H44" i="4"/>
  <c r="H43" i="4"/>
  <c r="I42" i="4"/>
  <c r="H42" i="4"/>
  <c r="F42" i="4"/>
  <c r="E42" i="4"/>
  <c r="I41" i="4"/>
  <c r="G89" i="4" s="1"/>
  <c r="H41" i="4"/>
  <c r="F41" i="4"/>
  <c r="E41" i="4"/>
  <c r="I40" i="4"/>
  <c r="G88" i="4" s="1"/>
  <c r="H40" i="4"/>
  <c r="F40" i="4"/>
  <c r="F88" i="4" s="1"/>
  <c r="E40" i="4"/>
  <c r="H39" i="4"/>
  <c r="H38" i="4"/>
  <c r="H37" i="4"/>
  <c r="F37" i="4"/>
  <c r="F74" i="4" s="1"/>
  <c r="I36" i="4"/>
  <c r="I73" i="4" s="1"/>
  <c r="G86" i="4" s="1"/>
  <c r="H36" i="4"/>
  <c r="H35" i="4"/>
  <c r="H34" i="4"/>
  <c r="H33" i="4"/>
  <c r="H32" i="4"/>
  <c r="F32" i="4"/>
  <c r="F69" i="4" s="1"/>
  <c r="E32" i="4"/>
  <c r="E69" i="4" s="1"/>
  <c r="H31" i="4"/>
  <c r="F31" i="4"/>
  <c r="F68" i="4" s="1"/>
  <c r="E31" i="4"/>
  <c r="E68" i="4" s="1"/>
  <c r="H30" i="4"/>
  <c r="H29" i="4"/>
  <c r="F29" i="4"/>
  <c r="F66" i="4" s="1"/>
  <c r="H28" i="4"/>
  <c r="H27" i="4"/>
  <c r="F27" i="4"/>
  <c r="F64" i="4" s="1"/>
  <c r="E27" i="4"/>
  <c r="H26" i="4"/>
  <c r="F26" i="4"/>
  <c r="F63" i="4" s="1"/>
  <c r="E26" i="4"/>
  <c r="E63" i="4" s="1"/>
  <c r="H25" i="4"/>
  <c r="F25" i="4"/>
  <c r="F62" i="4" s="1"/>
  <c r="E25" i="4"/>
  <c r="E62" i="4" s="1"/>
  <c r="H24" i="4"/>
  <c r="F24" i="4"/>
  <c r="F61" i="4" s="1"/>
  <c r="E24" i="4"/>
  <c r="E61" i="4" s="1"/>
  <c r="H23" i="4"/>
  <c r="H22" i="4"/>
  <c r="H21" i="4"/>
  <c r="H20" i="4"/>
  <c r="H19" i="4"/>
  <c r="H18" i="4"/>
  <c r="H17" i="4"/>
  <c r="H16" i="4"/>
  <c r="H15" i="4"/>
  <c r="F15" i="4"/>
  <c r="F52" i="4" s="1"/>
  <c r="E15" i="4"/>
  <c r="E52" i="4" s="1"/>
  <c r="H14" i="4"/>
  <c r="H13" i="4"/>
  <c r="F13" i="4"/>
  <c r="F49" i="4" s="1"/>
  <c r="F50" i="4" s="1"/>
  <c r="H12" i="4"/>
  <c r="H11" i="4"/>
  <c r="F11" i="4"/>
  <c r="F48" i="4" s="1"/>
  <c r="E11" i="4"/>
  <c r="E48" i="4" s="1"/>
  <c r="H10" i="4"/>
  <c r="F10" i="4"/>
  <c r="F47" i="4" s="1"/>
  <c r="E10" i="4"/>
  <c r="E47" i="4" s="1"/>
  <c r="H9" i="4"/>
  <c r="F9" i="4"/>
  <c r="F46" i="4" s="1"/>
  <c r="E9" i="4"/>
  <c r="E46" i="4" s="1"/>
  <c r="H8" i="4"/>
  <c r="F8" i="4"/>
  <c r="F45" i="4" s="1"/>
  <c r="E8" i="4"/>
  <c r="E45" i="4" s="1"/>
  <c r="H7" i="4"/>
  <c r="F7" i="4"/>
  <c r="F44" i="4" s="1"/>
  <c r="E7" i="4"/>
  <c r="E44" i="4" s="1"/>
  <c r="H6" i="4"/>
  <c r="F6" i="4"/>
  <c r="F39" i="4" s="1"/>
  <c r="F43" i="4" s="1"/>
  <c r="F76" i="4" s="1"/>
  <c r="E6" i="4"/>
  <c r="E39" i="4" s="1"/>
  <c r="E43" i="4" s="1"/>
  <c r="E76" i="4" s="1"/>
  <c r="H5" i="4"/>
  <c r="I4" i="4"/>
  <c r="H4" i="4"/>
  <c r="H3" i="4"/>
  <c r="I18" i="3" l="1"/>
  <c r="I19" i="3" s="1"/>
  <c r="I31" i="3"/>
  <c r="I23" i="4"/>
  <c r="I38" i="4" s="1"/>
  <c r="I60" i="4" s="1"/>
  <c r="I75" i="4" s="1"/>
  <c r="G81" i="4" s="1"/>
  <c r="G83" i="4" s="1"/>
  <c r="I97" i="1"/>
  <c r="G103" i="1"/>
  <c r="I48" i="1"/>
  <c r="I49" i="1" s="1"/>
  <c r="I50" i="1" s="1"/>
  <c r="I42" i="1"/>
  <c r="I52" i="1" s="1"/>
  <c r="I56" i="1" s="1"/>
  <c r="I57" i="1" s="1"/>
  <c r="I63" i="1" s="1"/>
  <c r="I66" i="1" s="1"/>
  <c r="I67" i="1" s="1"/>
  <c r="I68" i="1" s="1"/>
  <c r="I69" i="1" s="1"/>
  <c r="I72" i="1" s="1"/>
  <c r="I73" i="1" s="1"/>
  <c r="I75" i="1" s="1"/>
  <c r="I83" i="1" s="1"/>
  <c r="I84" i="1" s="1"/>
  <c r="I85" i="1" s="1"/>
  <c r="I88" i="1" s="1"/>
  <c r="I89" i="1" s="1"/>
  <c r="I95" i="1" s="1"/>
  <c r="I98" i="1" s="1"/>
  <c r="I99" i="1" s="1"/>
  <c r="G102" i="1" s="1"/>
  <c r="G93" i="2" s="1"/>
  <c r="G70" i="3" s="1"/>
  <c r="G79" i="4" s="1"/>
  <c r="G78" i="3"/>
  <c r="G77" i="3"/>
  <c r="F77" i="3"/>
  <c r="G75" i="3"/>
  <c r="H65" i="3"/>
  <c r="F65" i="3"/>
  <c r="H64" i="3"/>
  <c r="H63" i="3"/>
  <c r="H62" i="3"/>
  <c r="F62" i="3"/>
  <c r="E62" i="3"/>
  <c r="H61" i="3"/>
  <c r="E61" i="3"/>
  <c r="H60" i="3"/>
  <c r="H59" i="3"/>
  <c r="E59" i="3"/>
  <c r="H58" i="3"/>
  <c r="F58" i="3"/>
  <c r="E58" i="3"/>
  <c r="H57" i="3"/>
  <c r="F57" i="3"/>
  <c r="E57" i="3"/>
  <c r="H56" i="3"/>
  <c r="H55" i="3"/>
  <c r="H54" i="3"/>
  <c r="H53" i="3"/>
  <c r="H52" i="3"/>
  <c r="H51" i="3"/>
  <c r="F51" i="3"/>
  <c r="H50" i="3"/>
  <c r="F50" i="3"/>
  <c r="E50" i="3"/>
  <c r="H49" i="3"/>
  <c r="F49" i="3"/>
  <c r="E49" i="3"/>
  <c r="H48" i="3"/>
  <c r="H47" i="3"/>
  <c r="H46" i="3"/>
  <c r="H45" i="3"/>
  <c r="H44" i="3"/>
  <c r="H43" i="3"/>
  <c r="H42" i="3"/>
  <c r="F42" i="3"/>
  <c r="I41" i="3"/>
  <c r="H41" i="3"/>
  <c r="F41" i="3"/>
  <c r="F75" i="3" s="1"/>
  <c r="E41" i="3"/>
  <c r="H40" i="3"/>
  <c r="F40" i="3"/>
  <c r="H39" i="3"/>
  <c r="E39" i="3"/>
  <c r="H38" i="3"/>
  <c r="F38" i="3"/>
  <c r="E38" i="3"/>
  <c r="H37" i="3"/>
  <c r="F37" i="3"/>
  <c r="E37" i="3"/>
  <c r="H36" i="3"/>
  <c r="H35" i="3"/>
  <c r="F35" i="3"/>
  <c r="E35" i="3"/>
  <c r="E20" i="3" s="1"/>
  <c r="H34" i="3"/>
  <c r="E34" i="3"/>
  <c r="E44" i="3" s="1"/>
  <c r="E52" i="3" s="1"/>
  <c r="E53" i="3" s="1"/>
  <c r="H33" i="3"/>
  <c r="H32" i="3"/>
  <c r="E32" i="3"/>
  <c r="E65" i="3" s="1"/>
  <c r="H31" i="3"/>
  <c r="H30" i="3"/>
  <c r="H29" i="3"/>
  <c r="F29" i="3"/>
  <c r="F30" i="3" s="1"/>
  <c r="E29" i="3"/>
  <c r="E30" i="3" s="1"/>
  <c r="H28" i="3"/>
  <c r="H27" i="3"/>
  <c r="F27" i="3"/>
  <c r="E27" i="3"/>
  <c r="H26" i="3"/>
  <c r="H25" i="3"/>
  <c r="H24" i="3"/>
  <c r="H23" i="3"/>
  <c r="F23" i="3"/>
  <c r="F24" i="3" s="1"/>
  <c r="F25" i="3" s="1"/>
  <c r="F33" i="3" s="1"/>
  <c r="F34" i="3" s="1"/>
  <c r="E23" i="3"/>
  <c r="E24" i="3" s="1"/>
  <c r="E25" i="3" s="1"/>
  <c r="E33" i="3" s="1"/>
  <c r="I22" i="3"/>
  <c r="I47" i="3" s="1"/>
  <c r="G81" i="3" s="1"/>
  <c r="H22" i="3"/>
  <c r="H21" i="3"/>
  <c r="H20" i="3"/>
  <c r="H19" i="3"/>
  <c r="F19" i="3"/>
  <c r="F59" i="3" s="1"/>
  <c r="F61" i="3" s="1"/>
  <c r="H18" i="3"/>
  <c r="H17" i="3"/>
  <c r="H16" i="3"/>
  <c r="F16" i="3"/>
  <c r="H15" i="3"/>
  <c r="H14" i="3"/>
  <c r="H13" i="3"/>
  <c r="F13" i="3"/>
  <c r="F39" i="3" s="1"/>
  <c r="H12" i="3"/>
  <c r="H11" i="3"/>
  <c r="H10" i="3"/>
  <c r="H9" i="3"/>
  <c r="H8" i="3"/>
  <c r="H7" i="3"/>
  <c r="H6" i="3"/>
  <c r="F6" i="3"/>
  <c r="H5" i="3"/>
  <c r="F5" i="3"/>
  <c r="E5" i="3"/>
  <c r="H4" i="3"/>
  <c r="H3" i="3"/>
  <c r="I57" i="3" l="1"/>
  <c r="I32" i="3"/>
  <c r="H103" i="1"/>
  <c r="G94" i="2"/>
  <c r="G71" i="3" s="1"/>
  <c r="F44" i="3"/>
  <c r="F52" i="3" s="1"/>
  <c r="F53" i="3" s="1"/>
  <c r="F36" i="3"/>
  <c r="G80" i="4" l="1"/>
  <c r="I20" i="3"/>
  <c r="I28" i="3" s="1"/>
  <c r="I29" i="3" s="1"/>
  <c r="I30" i="3" s="1"/>
  <c r="I35" i="3" s="1"/>
  <c r="I56" i="3" s="1"/>
  <c r="I63" i="3" s="1"/>
  <c r="I64" i="3" s="1"/>
  <c r="I58" i="3"/>
  <c r="I59" i="3" s="1"/>
  <c r="I61" i="3" s="1"/>
  <c r="G74" i="3"/>
  <c r="G98" i="2"/>
  <c r="H89" i="2"/>
  <c r="H88" i="2"/>
  <c r="H87" i="2"/>
  <c r="H86" i="2"/>
  <c r="F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F65" i="2"/>
  <c r="H64" i="2"/>
  <c r="H63" i="2"/>
  <c r="H62" i="2"/>
  <c r="H61" i="2"/>
  <c r="H60" i="2"/>
  <c r="F60" i="2"/>
  <c r="F89" i="2" s="1"/>
  <c r="E60" i="2"/>
  <c r="E89" i="2" s="1"/>
  <c r="I59" i="2"/>
  <c r="I88" i="2" s="1"/>
  <c r="G97" i="2" s="1"/>
  <c r="H59" i="2"/>
  <c r="F59" i="2"/>
  <c r="F88" i="2" s="1"/>
  <c r="F97" i="2" s="1"/>
  <c r="E59" i="2"/>
  <c r="E88" i="2" s="1"/>
  <c r="H58" i="2"/>
  <c r="F58" i="2"/>
  <c r="F87" i="2" s="1"/>
  <c r="E58" i="2"/>
  <c r="E87" i="2" s="1"/>
  <c r="H57" i="2"/>
  <c r="F57" i="2"/>
  <c r="E57" i="2"/>
  <c r="E86" i="2" s="1"/>
  <c r="H56" i="2"/>
  <c r="F56" i="2"/>
  <c r="F85" i="2" s="1"/>
  <c r="E56" i="2"/>
  <c r="E85" i="2" s="1"/>
  <c r="H55" i="2"/>
  <c r="H54" i="2"/>
  <c r="H53" i="2"/>
  <c r="F53" i="2"/>
  <c r="F82" i="2" s="1"/>
  <c r="E53" i="2"/>
  <c r="E82" i="2" s="1"/>
  <c r="H52" i="2"/>
  <c r="F52" i="2"/>
  <c r="F81" i="2" s="1"/>
  <c r="E52" i="2"/>
  <c r="E81" i="2" s="1"/>
  <c r="H51" i="2"/>
  <c r="H50" i="2"/>
  <c r="H49" i="2"/>
  <c r="F49" i="2"/>
  <c r="F78" i="2" s="1"/>
  <c r="E49" i="2"/>
  <c r="E78" i="2" s="1"/>
  <c r="H48" i="2"/>
  <c r="H47" i="2"/>
  <c r="H46" i="2"/>
  <c r="H45" i="2"/>
  <c r="F45" i="2"/>
  <c r="F74" i="2" s="1"/>
  <c r="F101" i="2" s="1"/>
  <c r="E45" i="2"/>
  <c r="E74" i="2" s="1"/>
  <c r="H44" i="2"/>
  <c r="F44" i="2"/>
  <c r="F73" i="2" s="1"/>
  <c r="E44" i="2"/>
  <c r="E73" i="2" s="1"/>
  <c r="H43" i="2"/>
  <c r="H42" i="2"/>
  <c r="F42" i="2"/>
  <c r="F71" i="2" s="1"/>
  <c r="E42" i="2"/>
  <c r="E71" i="2" s="1"/>
  <c r="H41" i="2"/>
  <c r="H40" i="2"/>
  <c r="H39" i="2"/>
  <c r="E39" i="2"/>
  <c r="E68" i="2" s="1"/>
  <c r="H38" i="2"/>
  <c r="E38" i="2"/>
  <c r="E62" i="2" s="1"/>
  <c r="H37" i="2"/>
  <c r="F37" i="2"/>
  <c r="F61" i="2" s="1"/>
  <c r="E37" i="2"/>
  <c r="E61" i="2" s="1"/>
  <c r="I36" i="2"/>
  <c r="I64" i="2" s="1"/>
  <c r="G99" i="2" s="1"/>
  <c r="H36" i="2"/>
  <c r="F36" i="2"/>
  <c r="F64" i="2" s="1"/>
  <c r="F99" i="2" s="1"/>
  <c r="E36" i="2"/>
  <c r="E64" i="2" s="1"/>
  <c r="H35" i="2"/>
  <c r="F35" i="2"/>
  <c r="F63" i="2" s="1"/>
  <c r="F100" i="2" s="1"/>
  <c r="H34" i="2"/>
  <c r="F34" i="2"/>
  <c r="F67" i="2" s="1"/>
  <c r="E34" i="2"/>
  <c r="E67" i="2" s="1"/>
  <c r="H33" i="2"/>
  <c r="F33" i="2"/>
  <c r="F66" i="2" s="1"/>
  <c r="F95" i="2" s="1"/>
  <c r="H32" i="2"/>
  <c r="F32" i="2"/>
  <c r="E32" i="2"/>
  <c r="E65" i="2" s="1"/>
  <c r="H31" i="2"/>
  <c r="H30" i="2"/>
  <c r="H29" i="2"/>
  <c r="H28" i="2"/>
  <c r="H27" i="2"/>
  <c r="H26" i="2"/>
  <c r="F26" i="2"/>
  <c r="F54" i="2" s="1"/>
  <c r="F55" i="2" s="1"/>
  <c r="F83" i="2" s="1"/>
  <c r="F84" i="2" s="1"/>
  <c r="E26" i="2"/>
  <c r="E54" i="2" s="1"/>
  <c r="E55" i="2" s="1"/>
  <c r="E83" i="2" s="1"/>
  <c r="E84" i="2" s="1"/>
  <c r="H25" i="2"/>
  <c r="H24" i="2"/>
  <c r="H23" i="2"/>
  <c r="H22" i="2"/>
  <c r="H21" i="2"/>
  <c r="F21" i="2"/>
  <c r="F22" i="2" s="1"/>
  <c r="F50" i="2" s="1"/>
  <c r="F51" i="2" s="1"/>
  <c r="F79" i="2" s="1"/>
  <c r="F80" i="2" s="1"/>
  <c r="E21" i="2"/>
  <c r="E22" i="2" s="1"/>
  <c r="E50" i="2" s="1"/>
  <c r="E51" i="2" s="1"/>
  <c r="E79" i="2" s="1"/>
  <c r="E80" i="2" s="1"/>
  <c r="I20" i="2"/>
  <c r="I49" i="2" s="1"/>
  <c r="I78" i="2" s="1"/>
  <c r="G102" i="2" s="1"/>
  <c r="H20" i="2"/>
  <c r="H19" i="2"/>
  <c r="F19" i="2"/>
  <c r="F48" i="2" s="1"/>
  <c r="F77" i="2" s="1"/>
  <c r="E19" i="2"/>
  <c r="E48" i="2" s="1"/>
  <c r="E77" i="2" s="1"/>
  <c r="H18" i="2"/>
  <c r="F18" i="2"/>
  <c r="F47" i="2" s="1"/>
  <c r="F76" i="2" s="1"/>
  <c r="E18" i="2"/>
  <c r="E47" i="2" s="1"/>
  <c r="E76" i="2" s="1"/>
  <c r="H17" i="2"/>
  <c r="F17" i="2"/>
  <c r="F46" i="2" s="1"/>
  <c r="F75" i="2" s="1"/>
  <c r="E17" i="2"/>
  <c r="E46" i="2" s="1"/>
  <c r="E75" i="2" s="1"/>
  <c r="H16" i="2"/>
  <c r="H15" i="2"/>
  <c r="H14" i="2"/>
  <c r="F14" i="2"/>
  <c r="F43" i="2" s="1"/>
  <c r="F72" i="2" s="1"/>
  <c r="E14" i="2"/>
  <c r="E43" i="2" s="1"/>
  <c r="E72" i="2" s="1"/>
  <c r="H13" i="2"/>
  <c r="H12" i="2"/>
  <c r="F12" i="2"/>
  <c r="F41" i="2" s="1"/>
  <c r="F70" i="2" s="1"/>
  <c r="E12" i="2"/>
  <c r="E41" i="2" s="1"/>
  <c r="E70" i="2" s="1"/>
  <c r="H11" i="2"/>
  <c r="E11" i="2"/>
  <c r="E40" i="2" s="1"/>
  <c r="E69" i="2" s="1"/>
  <c r="H10" i="2"/>
  <c r="F10" i="2"/>
  <c r="F39" i="2" s="1"/>
  <c r="F68" i="2" s="1"/>
  <c r="H9" i="2"/>
  <c r="H8" i="2"/>
  <c r="H7" i="2"/>
  <c r="H6" i="2"/>
  <c r="H5" i="2"/>
  <c r="H4" i="2"/>
  <c r="F4" i="2"/>
  <c r="F38" i="2" s="1"/>
  <c r="F62" i="2" s="1"/>
  <c r="H3" i="2"/>
  <c r="I65" i="3" l="1"/>
  <c r="G76" i="3"/>
  <c r="F11" i="2"/>
  <c r="F40" i="2" s="1"/>
  <c r="F69" i="2" s="1"/>
  <c r="G111" i="1"/>
  <c r="G107" i="1"/>
  <c r="F107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E70" i="1"/>
  <c r="H69" i="1"/>
  <c r="H68" i="1"/>
  <c r="H67" i="1"/>
  <c r="H66" i="1"/>
  <c r="H65" i="1"/>
  <c r="H64" i="1"/>
  <c r="F64" i="1"/>
  <c r="F96" i="1" s="1"/>
  <c r="E64" i="1"/>
  <c r="E96" i="1" s="1"/>
  <c r="H63" i="1"/>
  <c r="I62" i="1"/>
  <c r="I94" i="1" s="1"/>
  <c r="G104" i="1" s="1"/>
  <c r="H62" i="1"/>
  <c r="F62" i="1"/>
  <c r="F104" i="1" s="1"/>
  <c r="E62" i="1"/>
  <c r="E94" i="1" s="1"/>
  <c r="H61" i="1"/>
  <c r="E61" i="1"/>
  <c r="E93" i="1" s="1"/>
  <c r="I92" i="1"/>
  <c r="H60" i="1"/>
  <c r="F60" i="1"/>
  <c r="F92" i="1" s="1"/>
  <c r="E60" i="1"/>
  <c r="E92" i="1" s="1"/>
  <c r="H59" i="1"/>
  <c r="H58" i="1"/>
  <c r="H57" i="1"/>
  <c r="H56" i="1"/>
  <c r="H55" i="1"/>
  <c r="H54" i="1"/>
  <c r="F54" i="1"/>
  <c r="F86" i="1" s="1"/>
  <c r="E54" i="1"/>
  <c r="E86" i="1" s="1"/>
  <c r="E87" i="1" s="1"/>
  <c r="H53" i="1"/>
  <c r="H52" i="1"/>
  <c r="F52" i="1"/>
  <c r="F75" i="1" s="1"/>
  <c r="H51" i="1"/>
  <c r="F51" i="1"/>
  <c r="F74" i="1" s="1"/>
  <c r="H50" i="1"/>
  <c r="H49" i="1"/>
  <c r="H48" i="1"/>
  <c r="H47" i="1"/>
  <c r="E47" i="1"/>
  <c r="E78" i="1" s="1"/>
  <c r="H46" i="1"/>
  <c r="F46" i="1"/>
  <c r="F77" i="1" s="1"/>
  <c r="E46" i="1"/>
  <c r="E77" i="1" s="1"/>
  <c r="I45" i="1"/>
  <c r="H45" i="1"/>
  <c r="F45" i="1"/>
  <c r="F82" i="1" s="1"/>
  <c r="I44" i="1"/>
  <c r="I80" i="1" s="1"/>
  <c r="H44" i="1"/>
  <c r="F44" i="1"/>
  <c r="F80" i="1" s="1"/>
  <c r="E44" i="1"/>
  <c r="E80" i="1" s="1"/>
  <c r="I43" i="1"/>
  <c r="I79" i="1" s="1"/>
  <c r="G109" i="1" s="1"/>
  <c r="H43" i="1"/>
  <c r="F43" i="1"/>
  <c r="F79" i="1" s="1"/>
  <c r="H42" i="1"/>
  <c r="F42" i="1"/>
  <c r="F83" i="1" s="1"/>
  <c r="E42" i="1"/>
  <c r="E83" i="1" s="1"/>
  <c r="H41" i="1"/>
  <c r="F41" i="1"/>
  <c r="F81" i="1" s="1"/>
  <c r="E41" i="1"/>
  <c r="E81" i="1" s="1"/>
  <c r="H40" i="1"/>
  <c r="F40" i="1"/>
  <c r="F71" i="1" s="1"/>
  <c r="E40" i="1"/>
  <c r="E71" i="1" s="1"/>
  <c r="H39" i="1"/>
  <c r="E39" i="1"/>
  <c r="H38" i="1"/>
  <c r="H37" i="1"/>
  <c r="H36" i="1"/>
  <c r="F36" i="1"/>
  <c r="F67" i="1" s="1"/>
  <c r="E36" i="1"/>
  <c r="E67" i="1" s="1"/>
  <c r="H35" i="1"/>
  <c r="H34" i="1"/>
  <c r="I33" i="1"/>
  <c r="I40" i="1" s="1"/>
  <c r="I71" i="1" s="1"/>
  <c r="I96" i="1" s="1"/>
  <c r="G110" i="1" s="1"/>
  <c r="I16" i="2" s="1"/>
  <c r="I45" i="2" s="1"/>
  <c r="I74" i="2" s="1"/>
  <c r="H33" i="1"/>
  <c r="H32" i="1"/>
  <c r="F32" i="1"/>
  <c r="F63" i="1" s="1"/>
  <c r="F95" i="1" s="1"/>
  <c r="E32" i="1"/>
  <c r="E63" i="1" s="1"/>
  <c r="E95" i="1" s="1"/>
  <c r="H31" i="1"/>
  <c r="H30" i="1"/>
  <c r="H29" i="1"/>
  <c r="H28" i="1"/>
  <c r="H27" i="1"/>
  <c r="F27" i="1"/>
  <c r="F34" i="1" s="1"/>
  <c r="F58" i="1" s="1"/>
  <c r="F65" i="1" s="1"/>
  <c r="F90" i="1" s="1"/>
  <c r="F97" i="1" s="1"/>
  <c r="H26" i="1"/>
  <c r="H25" i="1"/>
  <c r="H24" i="1"/>
  <c r="F24" i="1"/>
  <c r="E24" i="1"/>
  <c r="H23" i="1"/>
  <c r="H22" i="1"/>
  <c r="F22" i="1"/>
  <c r="F85" i="1" s="1"/>
  <c r="F99" i="1" s="1"/>
  <c r="H21" i="1"/>
  <c r="F21" i="1"/>
  <c r="F53" i="1" s="1"/>
  <c r="F76" i="1" s="1"/>
  <c r="H20" i="1"/>
  <c r="H19" i="1"/>
  <c r="E19" i="1"/>
  <c r="E51" i="1" s="1"/>
  <c r="E74" i="1" s="1"/>
  <c r="H18" i="1"/>
  <c r="H17" i="1"/>
  <c r="H16" i="1"/>
  <c r="F16" i="1"/>
  <c r="F17" i="1" s="1"/>
  <c r="E16" i="1"/>
  <c r="E48" i="1" s="1"/>
  <c r="E84" i="1" s="1"/>
  <c r="H15" i="1"/>
  <c r="H14" i="1"/>
  <c r="H13" i="1"/>
  <c r="H12" i="1"/>
  <c r="H11" i="1"/>
  <c r="I10" i="1"/>
  <c r="I46" i="1" s="1"/>
  <c r="I47" i="1" s="1"/>
  <c r="I77" i="1" s="1"/>
  <c r="I78" i="1" s="1"/>
  <c r="G108" i="1" s="1"/>
  <c r="H10" i="1"/>
  <c r="F10" i="1"/>
  <c r="F47" i="1" s="1"/>
  <c r="F78" i="1" s="1"/>
  <c r="H9" i="1"/>
  <c r="H8" i="1"/>
  <c r="H7" i="1"/>
  <c r="H6" i="1"/>
  <c r="H5" i="1"/>
  <c r="H4" i="1"/>
  <c r="F4" i="1"/>
  <c r="F37" i="1" s="1"/>
  <c r="F68" i="1" s="1"/>
  <c r="E4" i="1"/>
  <c r="E37" i="1" s="1"/>
  <c r="E68" i="1" s="1"/>
  <c r="H3" i="1"/>
  <c r="F39" i="1" l="1"/>
  <c r="F55" i="1" s="1"/>
  <c r="F70" i="1" s="1"/>
  <c r="F87" i="1" s="1"/>
  <c r="F30" i="1"/>
  <c r="I82" i="1"/>
  <c r="G105" i="1"/>
  <c r="I5" i="2"/>
  <c r="I35" i="2" s="1"/>
  <c r="I63" i="2" s="1"/>
  <c r="G100" i="2"/>
  <c r="I10" i="3" s="1"/>
  <c r="I40" i="3" s="1"/>
  <c r="G79" i="3" s="1"/>
  <c r="E55" i="1"/>
  <c r="F5" i="1"/>
  <c r="F6" i="1" s="1"/>
  <c r="E21" i="1"/>
  <c r="E27" i="1" s="1"/>
  <c r="E28" i="1" s="1"/>
  <c r="E59" i="1" s="1"/>
  <c r="E91" i="1" s="1"/>
  <c r="E5" i="1"/>
  <c r="E38" i="1" s="1"/>
  <c r="E69" i="1" s="1"/>
  <c r="G101" i="2"/>
  <c r="I7" i="3"/>
  <c r="I8" i="3" s="1"/>
  <c r="I46" i="3" s="1"/>
  <c r="F48" i="1"/>
  <c r="F84" i="1" s="1"/>
  <c r="F18" i="1"/>
  <c r="F50" i="1" s="1"/>
  <c r="F73" i="1" s="1"/>
  <c r="F25" i="1"/>
  <c r="F49" i="1"/>
  <c r="F72" i="1" s="1"/>
  <c r="F94" i="1"/>
  <c r="E17" i="1"/>
  <c r="F28" i="1"/>
  <c r="F59" i="1" s="1"/>
  <c r="F91" i="1" s="1"/>
  <c r="F38" i="1"/>
  <c r="F69" i="1" s="1"/>
  <c r="E25" i="1"/>
  <c r="E35" i="1" s="1"/>
  <c r="E56" i="1" s="1"/>
  <c r="E66" i="1" s="1"/>
  <c r="E88" i="1" s="1"/>
  <c r="E98" i="1" s="1"/>
  <c r="F93" i="1" l="1"/>
  <c r="F61" i="1"/>
  <c r="G73" i="3"/>
  <c r="I9" i="3" s="1"/>
  <c r="I42" i="3" s="1"/>
  <c r="I8" i="2"/>
  <c r="I33" i="2" s="1"/>
  <c r="I66" i="2" s="1"/>
  <c r="G95" i="2" s="1"/>
  <c r="E34" i="1"/>
  <c r="E58" i="1" s="1"/>
  <c r="E65" i="1" s="1"/>
  <c r="E90" i="1" s="1"/>
  <c r="E97" i="1" s="1"/>
  <c r="E53" i="1"/>
  <c r="E76" i="1" s="1"/>
  <c r="G80" i="3"/>
  <c r="I62" i="3"/>
  <c r="E6" i="1"/>
  <c r="E18" i="1"/>
  <c r="E49" i="1"/>
  <c r="E72" i="1" s="1"/>
  <c r="E26" i="1"/>
  <c r="E57" i="1" s="1"/>
  <c r="E89" i="1" s="1"/>
  <c r="F35" i="1"/>
  <c r="F56" i="1" s="1"/>
  <c r="F66" i="1" s="1"/>
  <c r="F88" i="1" s="1"/>
  <c r="F98" i="1" s="1"/>
  <c r="F26" i="1"/>
  <c r="F57" i="1" s="1"/>
  <c r="F89" i="1" s="1"/>
  <c r="E50" i="1" l="1"/>
  <c r="E73" i="1" s="1"/>
  <c r="E20" i="1"/>
  <c r="E52" i="1" l="1"/>
  <c r="E75" i="1" s="1"/>
  <c r="E22" i="1"/>
  <c r="E85" i="1" s="1"/>
  <c r="E99" i="1" s="1"/>
</calcChain>
</file>

<file path=xl/sharedStrings.xml><?xml version="1.0" encoding="utf-8"?>
<sst xmlns="http://schemas.openxmlformats.org/spreadsheetml/2006/main" count="2554" uniqueCount="830">
  <si>
    <t xml:space="preserve">Z0000002-238846_ 18_19. CV input Tray BOM </t>
  </si>
  <si>
    <t>SL ( set )</t>
  </si>
  <si>
    <t>[4pcs/cụm* 6=24 pcs]</t>
  </si>
  <si>
    <t>Image</t>
  </si>
  <si>
    <t>ID Number</t>
  </si>
  <si>
    <t>Quantity</t>
  </si>
  <si>
    <t>Standard Number</t>
  </si>
  <si>
    <t>Sub Category</t>
  </si>
  <si>
    <t>NCC</t>
  </si>
  <si>
    <t>Visible Part Size</t>
  </si>
  <si>
    <t>SL</t>
  </si>
  <si>
    <t>note 1</t>
  </si>
  <si>
    <t>Material</t>
  </si>
  <si>
    <t/>
  </si>
  <si>
    <t>V27</t>
  </si>
  <si>
    <t>2</t>
  </si>
  <si>
    <t>18.8_Belt PU chống tĩnh điện_MIR1</t>
  </si>
  <si>
    <t>belt PU chống tĩnh điện, màu đen, dày 1.5mm, bản rộng 20mm, chu vi 680mm ( đo mép trong 686mm)</t>
  </si>
  <si>
    <t>Yongli</t>
  </si>
  <si>
    <t>329.0 X 20.0 X 33.0</t>
  </si>
  <si>
    <t>V58</t>
  </si>
  <si>
    <t>4</t>
  </si>
  <si>
    <t>18.8_Belt PU chống tĩnh điện</t>
  </si>
  <si>
    <t>V90</t>
  </si>
  <si>
    <t>18.8_Belt PU chống tĩnh điện_MIR</t>
  </si>
  <si>
    <t>GTAM</t>
  </si>
  <si>
    <t>CG</t>
  </si>
  <si>
    <t>PT- Phanh trục</t>
  </si>
  <si>
    <t>tồn kho sẵn</t>
  </si>
  <si>
    <t>MI</t>
  </si>
  <si>
    <t>đã báo a VA đặt hàng</t>
  </si>
  <si>
    <t>PG</t>
  </si>
  <si>
    <t>Then cài</t>
  </si>
  <si>
    <t>đã tồn kho sẵn</t>
  </si>
  <si>
    <t>SPG</t>
  </si>
  <si>
    <t>đã báo đặt hàng</t>
  </si>
  <si>
    <t>UP</t>
  </si>
  <si>
    <t>VB</t>
  </si>
  <si>
    <t>đã đặt hàng CN</t>
  </si>
  <si>
    <t>V01</t>
  </si>
  <si>
    <t>18.1_Mnf_AL6061_1_MIR3</t>
  </si>
  <si>
    <t>AL6061, anode màu đen</t>
  </si>
  <si>
    <t>90.0 X 125.0 X 10.0</t>
  </si>
  <si>
    <t>V02</t>
  </si>
  <si>
    <t>18.2_Mnf_AL6061_1_MIR3</t>
  </si>
  <si>
    <t>50.0 X 95.0 X 10.0</t>
  </si>
  <si>
    <t>V03</t>
  </si>
  <si>
    <t>1</t>
  </si>
  <si>
    <t>18.3_Mnf_AL6061_1_MIR3</t>
  </si>
  <si>
    <t>50.0 X 10.0 X 243.0</t>
  </si>
  <si>
    <t>V04</t>
  </si>
  <si>
    <t>19.1_Mnf_Al6061_1</t>
  </si>
  <si>
    <t>50.0 X 10.0 X 230.0</t>
  </si>
  <si>
    <t>V05</t>
  </si>
  <si>
    <t>18.12_Mnf_SUS304_1_MIR1</t>
  </si>
  <si>
    <t>SUS304 điện hóa/ S45C mạ Nikel, có lăn nhám</t>
  </si>
  <si>
    <t>20.0 X 34.0 X 34.0</t>
  </si>
  <si>
    <t>V06</t>
  </si>
  <si>
    <t>18.13_688AZZ_NSK_1_MIR1</t>
  </si>
  <si>
    <t>vòng bi 688AZZ</t>
  </si>
  <si>
    <t>5.0 X 16.0 X 16.0</t>
  </si>
  <si>
    <t>V07</t>
  </si>
  <si>
    <t>SPG S6I06GX-V12_MIR3</t>
  </si>
  <si>
    <t>động cơ S6I06GX-V12/ bộ điều khiển tốc độ đi kèm</t>
  </si>
  <si>
    <t>88.0 X 60.0 X 62.0</t>
  </si>
  <si>
    <t>V08</t>
  </si>
  <si>
    <t>Hộp số SPG S6KA30B_MIR3</t>
  </si>
  <si>
    <t>kiu</t>
  </si>
  <si>
    <t>73.0 X 60.0 X 60.0</t>
  </si>
  <si>
    <t>V09</t>
  </si>
  <si>
    <t>6.6_HTPA25S3M150-A-N8_1_MIR3</t>
  </si>
  <si>
    <t>HTPA25S3M150-A-N8</t>
  </si>
  <si>
    <t>21.0 X 28.0 X 28.0</t>
  </si>
  <si>
    <t>V10</t>
  </si>
  <si>
    <t>6.7_KES3-12_1_MIR3</t>
  </si>
  <si>
    <t>chốt cài KES3-12</t>
  </si>
  <si>
    <t>12.0 X 3.0 X 3.0</t>
  </si>
  <si>
    <t>V11</t>
  </si>
  <si>
    <t>21.11_Mnf_SUS304_1_MIR3</t>
  </si>
  <si>
    <t>SUS304 có điện hóa</t>
  </si>
  <si>
    <t>90.0 X 111.0 X 28.0</t>
  </si>
  <si>
    <t>V12</t>
  </si>
  <si>
    <t>21.13_HTBN225S3M-150_info-1-25-25_MIR3</t>
  </si>
  <si>
    <t>100.0 X 25.0 X 15.0</t>
  </si>
  <si>
    <t>V13</t>
  </si>
  <si>
    <t>21.12_Mnf_PC ESD trong_1_MIR3</t>
  </si>
  <si>
    <t>Mica trong</t>
  </si>
  <si>
    <t>6.0 X 109.0 X 86.0</t>
  </si>
  <si>
    <t>V14</t>
  </si>
  <si>
    <t>21.15_Mnf_Al6061_1_MIR3</t>
  </si>
  <si>
    <t>90.0 X 73.0 X 10.0</t>
  </si>
  <si>
    <t>V15</t>
  </si>
  <si>
    <t>20.1_Mnf_Al6061_1_MIR3</t>
  </si>
  <si>
    <t>10.0 X 94.0 X 58.0</t>
  </si>
  <si>
    <t>V16</t>
  </si>
  <si>
    <t>20.2_Mnf_Al6061_1_MIR3</t>
  </si>
  <si>
    <t>8.0 X 69.0 X 95.0</t>
  </si>
  <si>
    <t>V17</t>
  </si>
  <si>
    <t>20.4_Mnf_SUS304_1_MIR3</t>
  </si>
  <si>
    <t>62.0 X 61.0 X 79.0</t>
  </si>
  <si>
    <t>V18</t>
  </si>
  <si>
    <t>20.3_Mnf_Al6061_1_MIR3</t>
  </si>
  <si>
    <t>10.0 X 58.0 X 115.0</t>
  </si>
  <si>
    <t>V19</t>
  </si>
  <si>
    <t>20.5_Mnf_SUS304_1_MIR3</t>
  </si>
  <si>
    <t>41.0 X 31.0 X 94.0</t>
  </si>
  <si>
    <t>V20</t>
  </si>
  <si>
    <t>18.091024_AL6061_01_MIR1</t>
  </si>
  <si>
    <t>10.0 X 30.0 X 26.0</t>
  </si>
  <si>
    <t>V21</t>
  </si>
  <si>
    <t>18.10_Mnf_SUS304_1_MIR1</t>
  </si>
  <si>
    <t>SUS304 điện hóa/ S45C mạ Nikel</t>
  </si>
  <si>
    <t>12.0 X 273.0 X 12.0</t>
  </si>
  <si>
    <t>V22</t>
  </si>
  <si>
    <t>18.11_Mnf_SUS304_1_MIR1</t>
  </si>
  <si>
    <t>V23</t>
  </si>
  <si>
    <t>18.4_Mnf_Al6061_1_MIR2</t>
  </si>
  <si>
    <t>335.0 X 10.0 X 39.0</t>
  </si>
  <si>
    <t>V24</t>
  </si>
  <si>
    <t>18.5_Mnf_Al6061_1_MIR1</t>
  </si>
  <si>
    <t>10.0 X 30.0 X 30.0</t>
  </si>
  <si>
    <t>V25</t>
  </si>
  <si>
    <t>18.6_Mnf_SUS304_1_MIR2</t>
  </si>
  <si>
    <t>335.0 X 25.0 X 32.0</t>
  </si>
  <si>
    <t>V26</t>
  </si>
  <si>
    <t>18.7_Mnf_SUS304_1_MIR1</t>
  </si>
  <si>
    <t>256.0 X 57.0 X 18.0</t>
  </si>
  <si>
    <t>V28</t>
  </si>
  <si>
    <t>18.9_Mnf_SUS304_1_MIR1</t>
  </si>
  <si>
    <t>260.0 X 10.0 X 10.0</t>
  </si>
  <si>
    <t>V29</t>
  </si>
  <si>
    <t>18.STWN8_MIR1</t>
  </si>
  <si>
    <t>Phanh trục STWN8</t>
  </si>
  <si>
    <t>1.0 X 13.0 X 10.0</t>
  </si>
  <si>
    <t>V30</t>
  </si>
  <si>
    <t>21.2_Mnf_Al6061_1_MIR3</t>
  </si>
  <si>
    <t>10.0 X 30.0 X 10.0</t>
  </si>
  <si>
    <t>V31</t>
  </si>
  <si>
    <t>21.8_B6000ZZ_1_MIR3</t>
  </si>
  <si>
    <t>B6000ZZ</t>
  </si>
  <si>
    <t>8.0 X 26.0 X 26.0</t>
  </si>
  <si>
    <t>V32</t>
  </si>
  <si>
    <t>18.6_Mnf_SUS304_1_MIR_MIR1</t>
  </si>
  <si>
    <t>V33</t>
  </si>
  <si>
    <t>18.4_Mnf_Al6061_1_MIR_MIR1</t>
  </si>
  <si>
    <t>V34</t>
  </si>
  <si>
    <t>18.1_Mnf_AL6061_1</t>
  </si>
  <si>
    <t>V35</t>
  </si>
  <si>
    <t>18.2_Mnf_AL6061_1</t>
  </si>
  <si>
    <t>V36</t>
  </si>
  <si>
    <t>18.3_Mnf_AL6061_1</t>
  </si>
  <si>
    <t>V37</t>
  </si>
  <si>
    <t>18.12_Mnf_SUS304_1</t>
  </si>
  <si>
    <t>V38</t>
  </si>
  <si>
    <t>8</t>
  </si>
  <si>
    <t>18.13_688AZZ_NSK_1</t>
  </si>
  <si>
    <t>V39</t>
  </si>
  <si>
    <t>21.11_Mnf_SUS304_1</t>
  </si>
  <si>
    <t>V40</t>
  </si>
  <si>
    <t>21.12_Mnf_PC ESD trong_1</t>
  </si>
  <si>
    <t>V41</t>
  </si>
  <si>
    <t>6.6_HTPA25S3M150-A-N8_1</t>
  </si>
  <si>
    <t>V42</t>
  </si>
  <si>
    <t>6.7_KES3-12_1</t>
  </si>
  <si>
    <t>V43</t>
  </si>
  <si>
    <t>HI_HTBN225S3M-150_info-1-25-25</t>
  </si>
  <si>
    <t>V44</t>
  </si>
  <si>
    <t>SPG S6I06GX-V12</t>
  </si>
  <si>
    <t>V45</t>
  </si>
  <si>
    <t>SPG S6DA30B</t>
  </si>
  <si>
    <t>V46</t>
  </si>
  <si>
    <t>21.15_Mnf_Al6061_1</t>
  </si>
  <si>
    <t>V47</t>
  </si>
  <si>
    <t>20.1_Mnf_Al6061_1</t>
  </si>
  <si>
    <t>V48</t>
  </si>
  <si>
    <t>20.2_Mnf_Al6061_1</t>
  </si>
  <si>
    <t>V49</t>
  </si>
  <si>
    <t>20.4_Mnf_SUS304_1</t>
  </si>
  <si>
    <t>V50</t>
  </si>
  <si>
    <t>20.3_Mnf_Al6061_1</t>
  </si>
  <si>
    <t>V51</t>
  </si>
  <si>
    <t>20.5_Mnf_SUS304_1</t>
  </si>
  <si>
    <t>V52</t>
  </si>
  <si>
    <t>18.10_Mnf_SUS304_1</t>
  </si>
  <si>
    <t>V53</t>
  </si>
  <si>
    <t>18.11_Mnf_SUS304_1</t>
  </si>
  <si>
    <t>V54</t>
  </si>
  <si>
    <t>18.4_Mnf_Al6061_1</t>
  </si>
  <si>
    <t>V55</t>
  </si>
  <si>
    <t>3</t>
  </si>
  <si>
    <t>18.5_Mnf_Al6061_1</t>
  </si>
  <si>
    <t>V56</t>
  </si>
  <si>
    <t>18.6_Mnf_SUS304_1</t>
  </si>
  <si>
    <t>V57</t>
  </si>
  <si>
    <t>18.7_Mnf_SUS304_1</t>
  </si>
  <si>
    <t>V59</t>
  </si>
  <si>
    <t>18.9_Mnf_SUS304_1</t>
  </si>
  <si>
    <t>V60</t>
  </si>
  <si>
    <t>STWN8</t>
  </si>
  <si>
    <t>V61</t>
  </si>
  <si>
    <t>21.2_Mnf_Al6061_1</t>
  </si>
  <si>
    <t>V62</t>
  </si>
  <si>
    <t>21.8_B6000ZZ_1</t>
  </si>
  <si>
    <t>V63</t>
  </si>
  <si>
    <t>18.6_Mnf_SUS304_1_MIR</t>
  </si>
  <si>
    <t>V64</t>
  </si>
  <si>
    <t>18.4_Mnf_Al6061_1_MIR</t>
  </si>
  <si>
    <t>V65</t>
  </si>
  <si>
    <t>18.1_Mnf_AL6061_1_MIR</t>
  </si>
  <si>
    <t>V66</t>
  </si>
  <si>
    <t>18.2_Mnf_AL6061_1_MIR</t>
  </si>
  <si>
    <t>V67</t>
  </si>
  <si>
    <t>18.3_Mnf_AL6061_1_MIR</t>
  </si>
  <si>
    <t>V68</t>
  </si>
  <si>
    <t>18.12_Mnf_SUS304_1_MIR</t>
  </si>
  <si>
    <t>V69</t>
  </si>
  <si>
    <t>18.13_688AZZ_NSK_1_MIR</t>
  </si>
  <si>
    <t>V70</t>
  </si>
  <si>
    <t>20.1_Mnf_Al6061_1_MIR</t>
  </si>
  <si>
    <t>V71</t>
  </si>
  <si>
    <t>20.2_Mnf_Al6061_1_MIR</t>
  </si>
  <si>
    <t>V72</t>
  </si>
  <si>
    <t>20.4_Mnf_SUS304_1_MIR</t>
  </si>
  <si>
    <t>V73</t>
  </si>
  <si>
    <t>20.3_Mnf_Al6061_1_MIR</t>
  </si>
  <si>
    <t>V74</t>
  </si>
  <si>
    <t>20.5_Mnf_SUS304_1_MIR</t>
  </si>
  <si>
    <t>V75</t>
  </si>
  <si>
    <t>SPG S6I06GX-V12_MIR</t>
  </si>
  <si>
    <t>V76</t>
  </si>
  <si>
    <t>Hộp số SPG S6KA30B_MIR</t>
  </si>
  <si>
    <t>V77</t>
  </si>
  <si>
    <t>6.6_HTPA25S3M150-A-N8_1_MIR</t>
  </si>
  <si>
    <t>V78</t>
  </si>
  <si>
    <t>6.7_KES3-12_1_MIR</t>
  </si>
  <si>
    <t>V79</t>
  </si>
  <si>
    <t>21.11_Mnf_SUS304_1_MIR</t>
  </si>
  <si>
    <t>V80</t>
  </si>
  <si>
    <t>21.13_HTBN225S3M-150_info-1-25-25_MIR</t>
  </si>
  <si>
    <t>V81</t>
  </si>
  <si>
    <t>21.12_Mnf_PC ESD trong_1_MIR</t>
  </si>
  <si>
    <t>V82</t>
  </si>
  <si>
    <t>21.15_Mnf_Al6061_1_MIR</t>
  </si>
  <si>
    <t>V83</t>
  </si>
  <si>
    <t>18.091024_AL6061_01_MIR</t>
  </si>
  <si>
    <t>V84</t>
  </si>
  <si>
    <t>18.10_Mnf_SUS304_1_MIR</t>
  </si>
  <si>
    <t>V85</t>
  </si>
  <si>
    <t>18.11_Mnf_SUS304_1_MIR</t>
  </si>
  <si>
    <t>V86</t>
  </si>
  <si>
    <t>18.4_Mnf_Al6061_1_MIR1</t>
  </si>
  <si>
    <t>V87</t>
  </si>
  <si>
    <t>18.5_Mnf_Al6061_1_MIR</t>
  </si>
  <si>
    <t>V88</t>
  </si>
  <si>
    <t>18.6_Mnf_SUS304_1_MIR1</t>
  </si>
  <si>
    <t>V89</t>
  </si>
  <si>
    <t>18.7_Mnf_SUS304_1_MIR</t>
  </si>
  <si>
    <t>V91</t>
  </si>
  <si>
    <t>18.9_Mnf_SUS304_1_MIR</t>
  </si>
  <si>
    <t>V92</t>
  </si>
  <si>
    <t>18.STWN8_MIR</t>
  </si>
  <si>
    <t>V93</t>
  </si>
  <si>
    <t>21.2_Mnf_Al6061_1_MIR</t>
  </si>
  <si>
    <t>V94</t>
  </si>
  <si>
    <t>21.8_B6000ZZ_1_MIR</t>
  </si>
  <si>
    <t>V95</t>
  </si>
  <si>
    <t>18.6_Mnf_SUS304_1_MIR_MIR</t>
  </si>
  <si>
    <t>V96</t>
  </si>
  <si>
    <t>18.4_Mnf_Al6061_1_MIR_MIR</t>
  </si>
  <si>
    <t>V97</t>
  </si>
  <si>
    <t>091024_AL6061_01</t>
  </si>
  <si>
    <t xml:space="preserve">Z0000002-238847 BOM </t>
  </si>
  <si>
    <t>[4pcs/cụm* 9=36 pcs]</t>
  </si>
  <si>
    <t>X01</t>
  </si>
  <si>
    <t>SPG S6I06GX-V12_MIR2</t>
  </si>
  <si>
    <t>động cơ SPG S6I06GX-V12/ bộ điều khiển tốc độ đi kèm</t>
  </si>
  <si>
    <t>X02</t>
  </si>
  <si>
    <t>Hộp số SPG S6KA30B_MIR2</t>
  </si>
  <si>
    <t>Hộp số SPG S6KA30B</t>
  </si>
  <si>
    <t>X03</t>
  </si>
  <si>
    <t>6.6_HTPA25S3M150-A-N8_1_MIR2</t>
  </si>
  <si>
    <t>X04</t>
  </si>
  <si>
    <t>6.7_KES3-12_1_MIR2</t>
  </si>
  <si>
    <t>đang check tồn</t>
  </si>
  <si>
    <t>X05</t>
  </si>
  <si>
    <t>21.11_Mnf_SUS304_1_MIR2</t>
  </si>
  <si>
    <t>SUS304 điện hóa</t>
  </si>
  <si>
    <t>X06</t>
  </si>
  <si>
    <t>21.13_HTBN225S3M-150_info-1-25-25_MIR2</t>
  </si>
  <si>
    <t>X07</t>
  </si>
  <si>
    <t>21.12_Mnf_PC ESD trong_1_MIR2</t>
  </si>
  <si>
    <t>X08</t>
  </si>
  <si>
    <t>21.15_Mnf_Al6061_1_MIR2</t>
  </si>
  <si>
    <t>X09</t>
  </si>
  <si>
    <t>20.1_Mnf_Al6061_1_MIR2</t>
  </si>
  <si>
    <t>X10</t>
  </si>
  <si>
    <t>20.2_Mnf_Al6061_1_MIR2</t>
  </si>
  <si>
    <t>X11</t>
  </si>
  <si>
    <t>20.4_Mnf_SUS304_1_MIR2</t>
  </si>
  <si>
    <t>X12</t>
  </si>
  <si>
    <t>20.3_Mnf_Al6061_1_MIR2</t>
  </si>
  <si>
    <t>X13</t>
  </si>
  <si>
    <t>20.5_Mnf_SUS304_1_MIR2</t>
  </si>
  <si>
    <t>X14</t>
  </si>
  <si>
    <t>17.0.B6900ZZ_230824_MIR_MIR1</t>
  </si>
  <si>
    <t>vòng bi B6900ZZ</t>
  </si>
  <si>
    <t>6.0 X 22.0 X 22.0</t>
  </si>
  <si>
    <t>X15</t>
  </si>
  <si>
    <t>18.1_Mnf_AL6061_1_MIR2</t>
  </si>
  <si>
    <t>X16</t>
  </si>
  <si>
    <t>18.2_Mnf_AL6061_1_MIR2</t>
  </si>
  <si>
    <t>X17</t>
  </si>
  <si>
    <t>18.3_Mnf_AL6061_1_MIR2</t>
  </si>
  <si>
    <t>X18</t>
  </si>
  <si>
    <t>21.10_Belt PU chong tinh dien_1_MIR1</t>
  </si>
  <si>
    <t>belt PU chống tĩnh điện, màu đen, dày 1.5mm, bản rộng 226mm, chu vi 600mm ( đo mép trong 606mm, đai căn chỉnh ở giữa)</t>
  </si>
  <si>
    <t>289.0 X 226.0 X 33.0</t>
  </si>
  <si>
    <t>X19</t>
  </si>
  <si>
    <t>21.1_Mnf_Al6061_1_MIR2</t>
  </si>
  <si>
    <t>295.0 X 10.0 X 39.0</t>
  </si>
  <si>
    <t>X20</t>
  </si>
  <si>
    <t>21.1_Mnf_Al6061_1_MIR_MIR1</t>
  </si>
  <si>
    <t>X21</t>
  </si>
  <si>
    <t>21.2_Mnf_Al6061_1_MIR2</t>
  </si>
  <si>
    <t>X22</t>
  </si>
  <si>
    <t>21.3_Mnf_SUS304_1_MIR1</t>
  </si>
  <si>
    <t>216.0 X 230.0 X 18.0</t>
  </si>
  <si>
    <t>X23</t>
  </si>
  <si>
    <t>21.4_Mnf_SUS304_1_MIR2</t>
  </si>
  <si>
    <t>295.0 X 25.0 X 32.0</t>
  </si>
  <si>
    <t>X24</t>
  </si>
  <si>
    <t>21.4_Mnf_SUS304_1_MIR_MIR1</t>
  </si>
  <si>
    <t>X25</t>
  </si>
  <si>
    <t>21.6_Mnf_SUS304_1_MIR1</t>
  </si>
  <si>
    <t>ct trục, SUS304 điện hóa/ S45C mạ nikel</t>
  </si>
  <si>
    <t>10.0 X 268.0 X 10.0</t>
  </si>
  <si>
    <t>X26</t>
  </si>
  <si>
    <t>21.7_Mnf_SUS304_1_MIR1</t>
  </si>
  <si>
    <t>30.0 X 224.0 X 30.0</t>
  </si>
  <si>
    <t>X27</t>
  </si>
  <si>
    <t>21.8_B6000ZZ_1_MIR2</t>
  </si>
  <si>
    <t>Vòng bi B6000ZZ</t>
  </si>
  <si>
    <t>X28</t>
  </si>
  <si>
    <t>21.9_STWN10_1_MIR1</t>
  </si>
  <si>
    <t>phanh trục STWN10</t>
  </si>
  <si>
    <t>15.0 X 1.0 X 13.0</t>
  </si>
  <si>
    <t>Tồn kho sẵn</t>
  </si>
  <si>
    <t>X29</t>
  </si>
  <si>
    <t>21.5_Mnf_SUS304_1_MIR1</t>
  </si>
  <si>
    <t>30.0 X 271.0 X 30.0</t>
  </si>
  <si>
    <t>X30</t>
  </si>
  <si>
    <t>X31</t>
  </si>
  <si>
    <t>X32</t>
  </si>
  <si>
    <t>X33</t>
  </si>
  <si>
    <t>X34</t>
  </si>
  <si>
    <t>X35</t>
  </si>
  <si>
    <t>X36</t>
  </si>
  <si>
    <t>SPG S6DA30B, đổi sang S6KA30B</t>
  </si>
  <si>
    <t>X37</t>
  </si>
  <si>
    <t>X38</t>
  </si>
  <si>
    <t>X39</t>
  </si>
  <si>
    <t>X40</t>
  </si>
  <si>
    <t>X41</t>
  </si>
  <si>
    <t>X42</t>
  </si>
  <si>
    <t>X43</t>
  </si>
  <si>
    <t>0.B6900ZZ_230824_MIR</t>
  </si>
  <si>
    <t>X44</t>
  </si>
  <si>
    <t>X45</t>
  </si>
  <si>
    <t>X46</t>
  </si>
  <si>
    <t>X47</t>
  </si>
  <si>
    <t>21.10_Belt PU chong tinh dien_1</t>
  </si>
  <si>
    <t>X48</t>
  </si>
  <si>
    <t>21.1_Mnf_Al6061_1</t>
  </si>
  <si>
    <t>X49</t>
  </si>
  <si>
    <t>21.1_Mnf_Al6061_1_MIR</t>
  </si>
  <si>
    <t>X50</t>
  </si>
  <si>
    <t>X51</t>
  </si>
  <si>
    <t>21.3_Mnf_SUS304_1</t>
  </si>
  <si>
    <t>X52</t>
  </si>
  <si>
    <t>21.4_Mnf_SUS304_1</t>
  </si>
  <si>
    <t>X53</t>
  </si>
  <si>
    <t>21.4_Mnf_SUS304_1_MIR</t>
  </si>
  <si>
    <t>X54</t>
  </si>
  <si>
    <t>21.6_Mnf_SUS304_1</t>
  </si>
  <si>
    <t>X55</t>
  </si>
  <si>
    <t>21.7_Mnf_SUS304_1</t>
  </si>
  <si>
    <t>X56</t>
  </si>
  <si>
    <t>X57</t>
  </si>
  <si>
    <t>21.9_STWN10_1</t>
  </si>
  <si>
    <t>X58</t>
  </si>
  <si>
    <t>21.5_Mnf_SUS304_1</t>
  </si>
  <si>
    <t>X59</t>
  </si>
  <si>
    <t>SPG S6I06GX-V12_MIR1</t>
  </si>
  <si>
    <t>X60</t>
  </si>
  <si>
    <t>Hộp số SPG S6KA30B_MIR1</t>
  </si>
  <si>
    <t>X61</t>
  </si>
  <si>
    <t>6.6_HTPA25S3M150-A-N8_1_MIR1</t>
  </si>
  <si>
    <t>X62</t>
  </si>
  <si>
    <t>6.7_KES3-12_1_MIR1</t>
  </si>
  <si>
    <t>X63</t>
  </si>
  <si>
    <t>21.11_Mnf_SUS304_1_MIR1</t>
  </si>
  <si>
    <t>X64</t>
  </si>
  <si>
    <t>21.13_HTBN225S3M-150_info-1-25-25_MIR1</t>
  </si>
  <si>
    <t>X65</t>
  </si>
  <si>
    <t>21.12_Mnf_PC ESD trong_1_MIR1</t>
  </si>
  <si>
    <t>X66</t>
  </si>
  <si>
    <t>21.15_Mnf_Al6061_1_MIR1</t>
  </si>
  <si>
    <t>X67</t>
  </si>
  <si>
    <t>20.1_Mnf_Al6061_1_MIR1</t>
  </si>
  <si>
    <t>X68</t>
  </si>
  <si>
    <t>20.2_Mnf_Al6061_1_MIR1</t>
  </si>
  <si>
    <t>X69</t>
  </si>
  <si>
    <t>20.4_Mnf_SUS304_1_MIR1</t>
  </si>
  <si>
    <t>X70</t>
  </si>
  <si>
    <t>20.3_Mnf_Al6061_1_MIR1</t>
  </si>
  <si>
    <t>X71</t>
  </si>
  <si>
    <t>20.5_Mnf_SUS304_1_MIR1</t>
  </si>
  <si>
    <t>X72</t>
  </si>
  <si>
    <t>17.0.B6900ZZ_230824_MIR_MIR</t>
  </si>
  <si>
    <t>X73</t>
  </si>
  <si>
    <t>18.1_Mnf_AL6061_1_MIR1</t>
  </si>
  <si>
    <t>X74</t>
  </si>
  <si>
    <t>18.2_Mnf_AL6061_1_MIR1</t>
  </si>
  <si>
    <t>X75</t>
  </si>
  <si>
    <t>18.3_Mnf_AL6061_1_MIR1</t>
  </si>
  <si>
    <t>X76</t>
  </si>
  <si>
    <t>21.10_Belt PU chong tinh dien_1_MIR</t>
  </si>
  <si>
    <t>X77</t>
  </si>
  <si>
    <t>21.1_Mnf_Al6061_1_MIR1</t>
  </si>
  <si>
    <t>X78</t>
  </si>
  <si>
    <t>21.1_Mnf_Al6061_1_MIR_MIR</t>
  </si>
  <si>
    <t>X79</t>
  </si>
  <si>
    <t>21.2_Mnf_Al6061_1_MIR1</t>
  </si>
  <si>
    <t>X80</t>
  </si>
  <si>
    <t>21.3_Mnf_SUS304_1_MIR</t>
  </si>
  <si>
    <t>X81</t>
  </si>
  <si>
    <t>21.4_Mnf_SUS304_1_MIR1</t>
  </si>
  <si>
    <t>X82</t>
  </si>
  <si>
    <t>21.4_Mnf_SUS304_1_MIR_MIR</t>
  </si>
  <si>
    <t>X83</t>
  </si>
  <si>
    <t>21.6_Mnf_SUS304_1_MIR</t>
  </si>
  <si>
    <t>X84</t>
  </si>
  <si>
    <t>21.7_Mnf_SUS304_1_MIR</t>
  </si>
  <si>
    <t>X85</t>
  </si>
  <si>
    <t>21.8_B6000ZZ_1_MIR1</t>
  </si>
  <si>
    <t>X86</t>
  </si>
  <si>
    <t>21.9_STWN10_1_MIR</t>
  </si>
  <si>
    <t>X87</t>
  </si>
  <si>
    <t>21.5_Mnf_SUS304_1_MIR</t>
  </si>
  <si>
    <t xml:space="preserve">Z0000002-238848 Z0000002-238849 _ 6&amp;7.Cụm CV_In Out Set - BOM </t>
  </si>
  <si>
    <t>[ 02 pcs/set*6= 12 pcs ]</t>
  </si>
  <si>
    <t>Y01</t>
  </si>
  <si>
    <t>0.MF_PB108_8_7_230824</t>
  </si>
  <si>
    <t>PB108 màu đen</t>
  </si>
  <si>
    <t>34.0 X 20.0 X 126.0</t>
  </si>
  <si>
    <t>Y02</t>
  </si>
  <si>
    <t>26</t>
  </si>
  <si>
    <t>6.Con lăn ED-WS08,Polyurethane Rubber</t>
  </si>
  <si>
    <t>Bỏ</t>
  </si>
  <si>
    <t>14.0 X 14.0 X 16.0</t>
  </si>
  <si>
    <t>Y03</t>
  </si>
  <si>
    <t>7.0.MF_PB108_8_7_230824_MIR1</t>
  </si>
  <si>
    <t>Y04</t>
  </si>
  <si>
    <t>6.Con lăn ED-WS08,Polyurethane Rubber_MIR1</t>
  </si>
  <si>
    <t>Y05</t>
  </si>
  <si>
    <t>6.0_6000ZZ_NSK</t>
  </si>
  <si>
    <t>Vòng bi 6000ZZ</t>
  </si>
  <si>
    <t>Y06</t>
  </si>
  <si>
    <t>6.0_688AZZ_NSK</t>
  </si>
  <si>
    <t>đã đặt CN</t>
  </si>
  <si>
    <t>Y07</t>
  </si>
  <si>
    <t>6.0_C-HTBN222S3M-150</t>
  </si>
  <si>
    <t>C-HTBN222S3M-150, đổi sang C-HTBN225S3M-150</t>
  </si>
  <si>
    <t>99.0 X 26.0 X 15.0</t>
  </si>
  <si>
    <t>Y08</t>
  </si>
  <si>
    <t>6.0_C-HTPA25S3M150-A-N8</t>
  </si>
  <si>
    <t>C-HTPA25S3M150-A-N8</t>
  </si>
  <si>
    <t>Y09</t>
  </si>
  <si>
    <t>6.0_KES3-12</t>
  </si>
  <si>
    <t>Y10</t>
  </si>
  <si>
    <t>6.0_S6I06G-GX</t>
  </si>
  <si>
    <t>100.0 X 60.0 X 62.0</t>
  </si>
  <si>
    <t>Y11</t>
  </si>
  <si>
    <t>6.0_S6KA15B_1</t>
  </si>
  <si>
    <t>Hộp số S6KA15B</t>
  </si>
  <si>
    <t>60.0 X 60.0 X 63.0</t>
  </si>
  <si>
    <t>Y12</t>
  </si>
  <si>
    <t>6.1.Mnf_AL6061_03</t>
  </si>
  <si>
    <t>Y13</t>
  </si>
  <si>
    <t>6.1.Mnf_AL6061_05</t>
  </si>
  <si>
    <t>90.0 X 75.0 X 10.0</t>
  </si>
  <si>
    <t>Y14</t>
  </si>
  <si>
    <t>6.1_Mnf_AL6061_1</t>
  </si>
  <si>
    <t>Y15</t>
  </si>
  <si>
    <t>6.3.Mnf_SUS304_03</t>
  </si>
  <si>
    <t>SUS304</t>
  </si>
  <si>
    <t>LINH</t>
  </si>
  <si>
    <t>47.0 X 11.0 X 11.0</t>
  </si>
  <si>
    <t>Y16</t>
  </si>
  <si>
    <t>6.3.Mnf_SUS304_06</t>
  </si>
  <si>
    <t>SUS304 điện hóa/ S45C mạ nikel- có lăn nhám</t>
  </si>
  <si>
    <t>Y17</t>
  </si>
  <si>
    <t>6.3.Mnf_SUS304_07</t>
  </si>
  <si>
    <t>SUS304 điện hóa/ S45C mạ nikel</t>
  </si>
  <si>
    <t>Y18</t>
  </si>
  <si>
    <t>6.3.Mnf_SUS304_09</t>
  </si>
  <si>
    <t>90.0 X 109.0 X 28.0</t>
  </si>
  <si>
    <t>Y19</t>
  </si>
  <si>
    <t>6.4.Mnf_Clear PC_01</t>
  </si>
  <si>
    <t>5.0 X 106.0 X 85.0</t>
  </si>
  <si>
    <t>Y20</t>
  </si>
  <si>
    <t>7.0.Belt_233</t>
  </si>
  <si>
    <t xml:space="preserve">belt PU đen, chống tĩnh điện 10^5-10^9, dày 1.5mm, bản rộng 20mm, chu vi 620mm ( đo mép trong 623mm) </t>
  </si>
  <si>
    <t>20.0 X 34.0 X 297.0</t>
  </si>
  <si>
    <t>Y21</t>
  </si>
  <si>
    <t>0.MF_AL_25_2_230824</t>
  </si>
  <si>
    <t>12.0 X 65.0 X 40.0</t>
  </si>
  <si>
    <t>Y22</t>
  </si>
  <si>
    <t>7.1.Mnf_AL6061_01</t>
  </si>
  <si>
    <t>10.0 X 34.0 X 305.0</t>
  </si>
  <si>
    <t>Y23</t>
  </si>
  <si>
    <t>7.1.Mnf_AL6061_01_180225_MIR</t>
  </si>
  <si>
    <t>Y24</t>
  </si>
  <si>
    <t>7.2.Mnf_PB108_01</t>
  </si>
  <si>
    <t>10.0 X 180.0 X 2.0</t>
  </si>
  <si>
    <t>Y25</t>
  </si>
  <si>
    <t>7.2.Mnf_PB108_02</t>
  </si>
  <si>
    <t>87.0 X 8.0 X 186.0</t>
  </si>
  <si>
    <t>Y26</t>
  </si>
  <si>
    <t>7.3.Mnf_SUS304_01</t>
  </si>
  <si>
    <t>SUS304, điện hóa</t>
  </si>
  <si>
    <t>86.0 X 3.0 X 185.0</t>
  </si>
  <si>
    <t>Y27</t>
  </si>
  <si>
    <t>7.3.Mnf_SUS304_05</t>
  </si>
  <si>
    <t>26.0 X 26.0 X 72.0</t>
  </si>
  <si>
    <t>Y28</t>
  </si>
  <si>
    <t>7.3.Mnf_SUS304_02</t>
  </si>
  <si>
    <t>26.0 X 26.0 X 102.0</t>
  </si>
  <si>
    <t>Y29</t>
  </si>
  <si>
    <t>7.3.Mnf_SUS304_03</t>
  </si>
  <si>
    <t>112.0 X 10.0 X 12.0</t>
  </si>
  <si>
    <t>Y30</t>
  </si>
  <si>
    <t>7.3.Mnf_SUS304_04</t>
  </si>
  <si>
    <t>152.0 X 13.0 X 13.0</t>
  </si>
  <si>
    <t>Y31</t>
  </si>
  <si>
    <t>MF_AL_25_3_170225</t>
  </si>
  <si>
    <t>25.0 X 62.0 X 40.0</t>
  </si>
  <si>
    <t>Y32</t>
  </si>
  <si>
    <t>041024_PB108_01</t>
  </si>
  <si>
    <t>351.0 X 35.0 X 20.0</t>
  </si>
  <si>
    <t>Y33</t>
  </si>
  <si>
    <t>6.1_Mnf_SUS304_1</t>
  </si>
  <si>
    <t>Y34</t>
  </si>
  <si>
    <t>6.2_Mnf_PC ESD trong_1</t>
  </si>
  <si>
    <t>6.0 X 107.0 X 86.0</t>
  </si>
  <si>
    <t>Y35</t>
  </si>
  <si>
    <t>6.3_Mnf_Al6061_1</t>
  </si>
  <si>
    <t>Y36</t>
  </si>
  <si>
    <t>6.4_S6I06GX-V12_1</t>
  </si>
  <si>
    <t>Y37</t>
  </si>
  <si>
    <t>6.5_S6KA15B_1</t>
  </si>
  <si>
    <t>Y38</t>
  </si>
  <si>
    <t>Y39</t>
  </si>
  <si>
    <t>Y40</t>
  </si>
  <si>
    <t>6.8_HTBN222S3M-150_1</t>
  </si>
  <si>
    <t>HTBN222S3M-150, đổi sang C-HTBN225S3M-150</t>
  </si>
  <si>
    <t>Y41</t>
  </si>
  <si>
    <t>JIS B 1111 - M4x50(1)_1</t>
  </si>
  <si>
    <t>Bulong M4x50</t>
  </si>
  <si>
    <t>9.0 X 9.0 X 53.0</t>
  </si>
  <si>
    <t>Y42</t>
  </si>
  <si>
    <t>6.041024_PB108_01_MIR3</t>
  </si>
  <si>
    <t>Y43</t>
  </si>
  <si>
    <t>18</t>
  </si>
  <si>
    <t>6.Con lăn ED-WS08,Polyurethane Rubber_MIR3</t>
  </si>
  <si>
    <t>Y44</t>
  </si>
  <si>
    <t>0.688AZZ_NSK_230824</t>
  </si>
  <si>
    <t>Vòng bi 688AZZ</t>
  </si>
  <si>
    <t>Y45</t>
  </si>
  <si>
    <t>0.Belt_CV455_230824</t>
  </si>
  <si>
    <t>Belt PU đen,  chống tĩnh điện 10^5-10^9, dày 1.5mm, bản rộng 22mm, chu vi 975mm ( đo mép trong 983mm)</t>
  </si>
  <si>
    <t>22.0 X 34.0 X 477.0</t>
  </si>
  <si>
    <t>Y46</t>
  </si>
  <si>
    <t>0.MF_AL_10_36_230824</t>
  </si>
  <si>
    <t>10.0 X 34.0 X 485.0</t>
  </si>
  <si>
    <t>Y47</t>
  </si>
  <si>
    <t>6.0.MF_AL_10_36_230824_MIR</t>
  </si>
  <si>
    <t>Y48</t>
  </si>
  <si>
    <t>0.MF_AL_10_47_230824</t>
  </si>
  <si>
    <t>Y49</t>
  </si>
  <si>
    <t>0.MF_AL_25_32_230824</t>
  </si>
  <si>
    <t>12.0 X 65.0 X 35.0</t>
  </si>
  <si>
    <t>Y50</t>
  </si>
  <si>
    <t>0.MF_PB108_10_3_230824</t>
  </si>
  <si>
    <t>40.0 X 52.0 X 15.0</t>
  </si>
  <si>
    <t>Y51</t>
  </si>
  <si>
    <t>6.0.MF_PB108_10_3_230824_MIR</t>
  </si>
  <si>
    <t>Y52</t>
  </si>
  <si>
    <t>0.MF_PB108_3_1_230824</t>
  </si>
  <si>
    <t>10.0 X 135.0 X 2.0</t>
  </si>
  <si>
    <t>Y53</t>
  </si>
  <si>
    <t>0.MF_PB108_8_32_230824</t>
  </si>
  <si>
    <t>22.0 X 8.0 X 391.0</t>
  </si>
  <si>
    <t>Y54</t>
  </si>
  <si>
    <t>0.MF_SUS304_11_230824</t>
  </si>
  <si>
    <t>20.0 X 3.0 X 390.0</t>
  </si>
  <si>
    <t>Y55</t>
  </si>
  <si>
    <t>0.MF_SUS304_28_230824</t>
  </si>
  <si>
    <t>Y56</t>
  </si>
  <si>
    <t>0.MF_SUS304_3_230824</t>
  </si>
  <si>
    <t>Y57</t>
  </si>
  <si>
    <t>0.MF_SUS304_4_230824</t>
  </si>
  <si>
    <t>Y58</t>
  </si>
  <si>
    <t>MF_AL_35_170225</t>
  </si>
  <si>
    <t>25.0 X 62.0 X 35.0</t>
  </si>
  <si>
    <t>Y59</t>
  </si>
  <si>
    <t>0.MF_SUS304_5_230824</t>
  </si>
  <si>
    <t>Y60</t>
  </si>
  <si>
    <t>0.6000ZZ_NSK_230824</t>
  </si>
  <si>
    <t>Y61</t>
  </si>
  <si>
    <t>0.MF_SUS304_10_230824</t>
  </si>
  <si>
    <t>71.0 X 34.0 X 26.0</t>
  </si>
  <si>
    <t>Y62</t>
  </si>
  <si>
    <t>0.MF_SUS304_30_230824</t>
  </si>
  <si>
    <t>25.0 X 21.0 X 97.0</t>
  </si>
  <si>
    <t>Y63</t>
  </si>
  <si>
    <t>0.MF_SUS304_6_230824</t>
  </si>
  <si>
    <t>\</t>
  </si>
  <si>
    <t>HC</t>
  </si>
  <si>
    <t xml:space="preserve">Z0000002-238851_13.Cụm tách tray_TOP_ LR_ 02pcs - BOM </t>
  </si>
  <si>
    <t>[2pcs/set* 6=12 pcs]</t>
  </si>
  <si>
    <t>Note 1</t>
  </si>
  <si>
    <t>Z01</t>
  </si>
  <si>
    <t>13.B6000ZZ#2</t>
  </si>
  <si>
    <t>Z02</t>
  </si>
  <si>
    <t>13..Belt PU đen, chống tĩnh điện#2</t>
  </si>
  <si>
    <t>Belt PU đen, chống tĩnh điện, dày 1.5mm, bản rộng 20mm, chu vi 670mm ( đo mép trong chu vi 677mm, căn chỉnh đã ở giữa )</t>
  </si>
  <si>
    <t>20.0 X 34.0 X 324.0</t>
  </si>
  <si>
    <t>Z03</t>
  </si>
  <si>
    <t>KES3-12#2</t>
  </si>
  <si>
    <t xml:space="preserve">then cài </t>
  </si>
  <si>
    <t>Z04</t>
  </si>
  <si>
    <t>13.10_MF_AL6061_1_Mirror</t>
  </si>
  <si>
    <t>64.0 X 75.0 X 15.0</t>
  </si>
  <si>
    <t>Z05</t>
  </si>
  <si>
    <t>13.11_MF_AL6061_1#2</t>
  </si>
  <si>
    <t>6.0 X 72.0 X 42.0</t>
  </si>
  <si>
    <t>Z06</t>
  </si>
  <si>
    <t>13.12_MF_AL6061_1#2</t>
  </si>
  <si>
    <t>12.0 X 15.0 X 34.0</t>
  </si>
  <si>
    <t>Z07</t>
  </si>
  <si>
    <t>13.13_MF_AL6061_1#2</t>
  </si>
  <si>
    <t>12.0 X 32.0 X 45.0</t>
  </si>
  <si>
    <t>Z08</t>
  </si>
  <si>
    <t>13.14_MF_AL6061_1_Mirror</t>
  </si>
  <si>
    <t>90.0 X 71.0 X 10.0</t>
  </si>
  <si>
    <t>Z09</t>
  </si>
  <si>
    <t>13.16_MF_AL6061_1_Mirror</t>
  </si>
  <si>
    <t>240.0 X 26.0 X 10.0</t>
  </si>
  <si>
    <t>Z10</t>
  </si>
  <si>
    <t>13.17_MF_SUS304_1#2</t>
  </si>
  <si>
    <t>ct trục, SUS304 điện hóa/ S45C mạ nikel, có lăn nhám</t>
  </si>
  <si>
    <t>Z11</t>
  </si>
  <si>
    <t>13.18_MF_SUS304_1_Mirror</t>
  </si>
  <si>
    <t>ct trục, SUS304 điện hóa/ S45C mạ nikel, không lăn nhám</t>
  </si>
  <si>
    <t>Z12</t>
  </si>
  <si>
    <t>13.19_MF_SUS304_1#2</t>
  </si>
  <si>
    <t>12.0 X 206.0 X 12.0</t>
  </si>
  <si>
    <t>Z13</t>
  </si>
  <si>
    <t>13.1_MF_AL6061_1_Mirror</t>
  </si>
  <si>
    <t>330.0 X 300.0 X 10.0</t>
  </si>
  <si>
    <t>Z14</t>
  </si>
  <si>
    <t>13.20_MF_SUS304_1#2</t>
  </si>
  <si>
    <t>ct phay, SUS304 điện hóa hoặc S45C mạ nikel</t>
  </si>
  <si>
    <t>Vitech</t>
  </si>
  <si>
    <t>24.0 X 20.0 X 17.0</t>
  </si>
  <si>
    <t>Z15</t>
  </si>
  <si>
    <t>13.21_MF_SUS304_1_Mirror</t>
  </si>
  <si>
    <t>20.0 X 29.0 X 65.0</t>
  </si>
  <si>
    <t>Z16</t>
  </si>
  <si>
    <t>13.22_MF_SUS304_1_Mirror</t>
  </si>
  <si>
    <t>300.0 X 43.0 X 10.0</t>
  </si>
  <si>
    <t>Z17</t>
  </si>
  <si>
    <t>13.23_MF_SUS304_1_Mirror</t>
  </si>
  <si>
    <t>49.0 X 79.0 X 30.0</t>
  </si>
  <si>
    <t>Z18</t>
  </si>
  <si>
    <t>13.24_MF_SUS304_1#2</t>
  </si>
  <si>
    <t>13.0 X 92.0 X 17.0</t>
  </si>
  <si>
    <t>Z19</t>
  </si>
  <si>
    <t>13.25_MF_SUS304_1#2</t>
  </si>
  <si>
    <t>250.0 X 23.0 X 20.0</t>
  </si>
  <si>
    <t>Z20</t>
  </si>
  <si>
    <t>13.26_MF_SUS304_1_Mirror</t>
  </si>
  <si>
    <t>63.0 X 28.0 X 170.0</t>
  </si>
  <si>
    <t>Z21</t>
  </si>
  <si>
    <t>13.27_MF_SUS304_1_Mirror</t>
  </si>
  <si>
    <t>39.0 X 10.0 X 10.0</t>
  </si>
  <si>
    <t>Z22</t>
  </si>
  <si>
    <t>13.2_MF_AL6061_1_Mirror</t>
  </si>
  <si>
    <t>330.0 X 100.0 X 10.0</t>
  </si>
  <si>
    <t>Z23</t>
  </si>
  <si>
    <t>13.3_MF_AL6061_1_Mirror</t>
  </si>
  <si>
    <t>330.0 X 10.0 X 100.0</t>
  </si>
  <si>
    <t>Z24</t>
  </si>
  <si>
    <t>13.4_MF_AL6061_1#2</t>
  </si>
  <si>
    <t>472.0 X 43.0 X 8.0</t>
  </si>
  <si>
    <t>Z25</t>
  </si>
  <si>
    <t>13.5_MF_AL6061_1#2</t>
  </si>
  <si>
    <t>33.0 X 32.0 X 10.0</t>
  </si>
  <si>
    <t>Z26</t>
  </si>
  <si>
    <t>13.688AZZ_NSK_Mirror</t>
  </si>
  <si>
    <t>Vòng bi 688AZZ, NSK</t>
  </si>
  <si>
    <t>Z27</t>
  </si>
  <si>
    <t>13.6_MF_AL6061_1#2</t>
  </si>
  <si>
    <t>10.0 X 30.0 X 29.0</t>
  </si>
  <si>
    <t>Z28</t>
  </si>
  <si>
    <t>13.7_MF_AL6061_1#2</t>
  </si>
  <si>
    <t>Z29</t>
  </si>
  <si>
    <t>13.8_MF_AL6061_1#2</t>
  </si>
  <si>
    <t>20.0 X 41.0 X 42.0</t>
  </si>
  <si>
    <t>Z30</t>
  </si>
  <si>
    <t>13.9_MF_AL6061_1_Mirror</t>
  </si>
  <si>
    <t>225.0 X 33.0 X 10.0</t>
  </si>
  <si>
    <t>Z31</t>
  </si>
  <si>
    <t>13.SPG S6I06GX-V12_Mirror</t>
  </si>
  <si>
    <t>Z32</t>
  </si>
  <si>
    <t>13.SPG S6KA30B_Mirror</t>
  </si>
  <si>
    <t>Z33</t>
  </si>
  <si>
    <t>HTBN339S3M-150#2</t>
  </si>
  <si>
    <t>157.0 X 25.0 X 15.0</t>
  </si>
  <si>
    <t>Z34</t>
  </si>
  <si>
    <t>HTPA25S3M150-A-N8_Mirror</t>
  </si>
  <si>
    <t>Z35</t>
  </si>
  <si>
    <t>MF_MICA_2_Mirror</t>
  </si>
  <si>
    <t>51.0 X 3.0 X 166.0</t>
  </si>
  <si>
    <t>Z36</t>
  </si>
  <si>
    <t>HI_SETGS12-89-SC65-M6-N6#2</t>
  </si>
  <si>
    <t>chân đỡ thân máy SETGS12-89-SC65-M6-N6</t>
  </si>
  <si>
    <t>98.0 X 12.0 X 12.0</t>
  </si>
  <si>
    <t>Z37</t>
  </si>
  <si>
    <t>13.10_MF_AL6061_1_MIR_Mirror</t>
  </si>
  <si>
    <t>Z38</t>
  </si>
  <si>
    <t>13.B6000ZZ#1</t>
  </si>
  <si>
    <t>Z39</t>
  </si>
  <si>
    <t>13..Belt PU đen, chống tĩnh điện#1</t>
  </si>
  <si>
    <t>Z40</t>
  </si>
  <si>
    <t>KES3-12#1</t>
  </si>
  <si>
    <t>Z41</t>
  </si>
  <si>
    <t>13.10_MF_AL6061_1#1</t>
  </si>
  <si>
    <t>Z42</t>
  </si>
  <si>
    <t>13.11_MF_AL6061_1#1</t>
  </si>
  <si>
    <t>Z43</t>
  </si>
  <si>
    <t>13.12_MF_AL6061_1#1</t>
  </si>
  <si>
    <t>Z44</t>
  </si>
  <si>
    <t>13.13_MF_AL6061_1#1</t>
  </si>
  <si>
    <t>Z45</t>
  </si>
  <si>
    <t>13.14_MF_AL6061_1#1</t>
  </si>
  <si>
    <t>Z46</t>
  </si>
  <si>
    <t>13.16_MF_AL6061_1#1</t>
  </si>
  <si>
    <t>Z47</t>
  </si>
  <si>
    <t>13.17_MF_SUS304_1#1</t>
  </si>
  <si>
    <t>Z48</t>
  </si>
  <si>
    <t>13.18_MF_SUS304_1#1</t>
  </si>
  <si>
    <t>Z49</t>
  </si>
  <si>
    <t>13.19_MF_SUS304_1#1</t>
  </si>
  <si>
    <t>Z50</t>
  </si>
  <si>
    <t>13.1_MF_AL6061_1#1</t>
  </si>
  <si>
    <t>Z51</t>
  </si>
  <si>
    <t>13.20_MF_SUS304_1#1</t>
  </si>
  <si>
    <t>Z52</t>
  </si>
  <si>
    <t>13.21_MF_SUS304_1#1</t>
  </si>
  <si>
    <t>Z53</t>
  </si>
  <si>
    <t>13.22_MF_SUS304_1#1</t>
  </si>
  <si>
    <t>Z54</t>
  </si>
  <si>
    <t>13.23_MF_SUS304_1#1</t>
  </si>
  <si>
    <t>Z55</t>
  </si>
  <si>
    <t>13.24_MF_SUS304_1#1</t>
  </si>
  <si>
    <t>Z56</t>
  </si>
  <si>
    <t>13.25_MF_SUS304_1#1</t>
  </si>
  <si>
    <t>Z57</t>
  </si>
  <si>
    <t>13.26_MF_SUS304_1#1</t>
  </si>
  <si>
    <t>Z58</t>
  </si>
  <si>
    <t>13.27_MF_SUS304_1#1</t>
  </si>
  <si>
    <t>Z59</t>
  </si>
  <si>
    <t>13.2_MF_AL6061_1#1</t>
  </si>
  <si>
    <t>Z60</t>
  </si>
  <si>
    <t>13.3_MF_AL6061_1#1</t>
  </si>
  <si>
    <t>Z61</t>
  </si>
  <si>
    <t>13.4_MF_AL6061_1#1</t>
  </si>
  <si>
    <t>Z62</t>
  </si>
  <si>
    <t>13.5_MF_AL6061_1#1</t>
  </si>
  <si>
    <t>Z63</t>
  </si>
  <si>
    <t>13.688AZZ_NSK#1</t>
  </si>
  <si>
    <t>Z64</t>
  </si>
  <si>
    <t>13.6_MF_AL6061_1#1</t>
  </si>
  <si>
    <t>Z65</t>
  </si>
  <si>
    <t>13.7_MF_AL6061_1#1</t>
  </si>
  <si>
    <t>Z66</t>
  </si>
  <si>
    <t>13.8_MF_AL6061_1#1</t>
  </si>
  <si>
    <t>Z67</t>
  </si>
  <si>
    <t>13.9_MF_AL6061_1#1</t>
  </si>
  <si>
    <t>Z68</t>
  </si>
  <si>
    <t>13.SPG S6I06GX-V12#1</t>
  </si>
  <si>
    <t>Z69</t>
  </si>
  <si>
    <t>13.SPG S6KA30B#1</t>
  </si>
  <si>
    <t>Z70</t>
  </si>
  <si>
    <t>HTBN339S3M-150#1</t>
  </si>
  <si>
    <t>Z71</t>
  </si>
  <si>
    <t>HTPA25S3M150-A-N8#1</t>
  </si>
  <si>
    <t>Z72</t>
  </si>
  <si>
    <t>MF_MICA_2#1</t>
  </si>
  <si>
    <t>Z73</t>
  </si>
  <si>
    <t>HI_SETGS12-89-SC65-M6-N6#1</t>
  </si>
  <si>
    <t>Z74</t>
  </si>
  <si>
    <t>13.10_MF_AL6061_1_MIR#1</t>
  </si>
  <si>
    <t>hàng đã về</t>
  </si>
  <si>
    <t>đang yc gửi báo giá</t>
  </si>
  <si>
    <t xml:space="preserve">HTBN225S3M-150 --&gt; đổi sang C-HTBN225S3M-150 </t>
  </si>
  <si>
    <t>HTBN225S3M-150  --&gt; đổi sang C-HTBN225S3M-150</t>
  </si>
  <si>
    <t>HTBN339S3M-150  --&gt; đổi sang C-HTBN225S3M-150</t>
  </si>
  <si>
    <t>giao 50% ngày 5/4</t>
  </si>
  <si>
    <t>giao 50% còn lại ngày 15/4</t>
  </si>
  <si>
    <t>đã đặt phôi, có thể làm xong trc 5/4</t>
  </si>
  <si>
    <t>đã chốt làm MAH toàn bộ, có hàng trc 4/4</t>
  </si>
  <si>
    <t>đã nhận hàng 30/3</t>
  </si>
  <si>
    <t>31/3 và 3/4 nhận đủ hàng</t>
  </si>
  <si>
    <t>đang giục</t>
  </si>
  <si>
    <t xml:space="preserve">đã nhận hàng  </t>
  </si>
  <si>
    <t>TAT</t>
  </si>
  <si>
    <t>Ng đã đặt NCC mới cho đủ 84CV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</si>
</sst>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8" tint="-0.249977111117893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</font>
    <font>
      <b/>
      <sz val="12"/>
      <color theme="1"/>
      <name val="Calibri"/>
      <family val="2"/>
    </font>
    <font>
      <sz val="12"/>
      <color theme="1"/>
      <name val="Calibri"/>
    </font>
    <font>
      <sz val="12"/>
      <color theme="1"/>
      <name val="Calibri"/>
      <family val="2"/>
    </font>
    <font>
      <b/>
      <sz val="20"/>
      <color theme="8" tint="-0.249977111117893"/>
      <name val="Calibri"/>
    </font>
    <font>
      <sz val="12"/>
      <color rgb="FF000000"/>
      <name val="Calibri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/>
    <xf numFmtId="0" fontId="4" fillId="2" borderId="0" xfId="0" applyFont="1" applyFill="1"/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4" borderId="2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7" fillId="0" borderId="0" xfId="0" applyFont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10" fillId="5" borderId="2" xfId="0" applyFont="1" applyFill="1" applyBorder="1" applyAlignment="1">
      <alignment horizontal="left"/>
    </xf>
    <xf numFmtId="0" fontId="1" fillId="2" borderId="2" xfId="0" applyFont="1" applyFill="1" applyBorder="1"/>
    <xf numFmtId="0" fontId="0" fillId="2" borderId="2" xfId="0" applyFill="1" applyBorder="1"/>
    <xf numFmtId="0" fontId="8" fillId="2" borderId="2" xfId="0" applyFont="1" applyFill="1" applyBorder="1" applyAlignment="1">
      <alignment horizontal="left"/>
    </xf>
    <xf numFmtId="0" fontId="1" fillId="6" borderId="2" xfId="0" applyFont="1" applyFill="1" applyBorder="1"/>
    <xf numFmtId="0" fontId="0" fillId="6" borderId="2" xfId="0" applyFill="1" applyBorder="1"/>
    <xf numFmtId="43" fontId="0" fillId="0" borderId="0" xfId="1" applyFont="1"/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61" Type="http://schemas.openxmlformats.org/officeDocument/2006/relationships/image" Target="../media/image61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6.jpeg"/><Relationship Id="rId18" Type="http://schemas.openxmlformats.org/officeDocument/2006/relationships/image" Target="../media/image81.jpeg"/><Relationship Id="rId26" Type="http://schemas.openxmlformats.org/officeDocument/2006/relationships/image" Target="../media/image89.jpeg"/><Relationship Id="rId39" Type="http://schemas.openxmlformats.org/officeDocument/2006/relationships/image" Target="../media/image100.jpeg"/><Relationship Id="rId21" Type="http://schemas.openxmlformats.org/officeDocument/2006/relationships/image" Target="../media/image84.jpeg"/><Relationship Id="rId34" Type="http://schemas.openxmlformats.org/officeDocument/2006/relationships/image" Target="../media/image43.jpeg"/><Relationship Id="rId42" Type="http://schemas.openxmlformats.org/officeDocument/2006/relationships/image" Target="../media/image102.jpeg"/><Relationship Id="rId47" Type="http://schemas.openxmlformats.org/officeDocument/2006/relationships/image" Target="../media/image107.jpeg"/><Relationship Id="rId50" Type="http://schemas.openxmlformats.org/officeDocument/2006/relationships/image" Target="../media/image110.jpeg"/><Relationship Id="rId55" Type="http://schemas.openxmlformats.org/officeDocument/2006/relationships/image" Target="../media/image115.jpeg"/><Relationship Id="rId7" Type="http://schemas.openxmlformats.org/officeDocument/2006/relationships/image" Target="../media/image71.jpeg"/><Relationship Id="rId12" Type="http://schemas.openxmlformats.org/officeDocument/2006/relationships/image" Target="../media/image75.jpeg"/><Relationship Id="rId17" Type="http://schemas.openxmlformats.org/officeDocument/2006/relationships/image" Target="../media/image80.jpeg"/><Relationship Id="rId25" Type="http://schemas.openxmlformats.org/officeDocument/2006/relationships/image" Target="../media/image88.jpeg"/><Relationship Id="rId33" Type="http://schemas.openxmlformats.org/officeDocument/2006/relationships/image" Target="../media/image95.jpeg"/><Relationship Id="rId38" Type="http://schemas.openxmlformats.org/officeDocument/2006/relationships/image" Target="../media/image99.jpeg"/><Relationship Id="rId46" Type="http://schemas.openxmlformats.org/officeDocument/2006/relationships/image" Target="../media/image106.jpeg"/><Relationship Id="rId2" Type="http://schemas.openxmlformats.org/officeDocument/2006/relationships/image" Target="../media/image68.jpeg"/><Relationship Id="rId16" Type="http://schemas.openxmlformats.org/officeDocument/2006/relationships/image" Target="../media/image79.jpeg"/><Relationship Id="rId20" Type="http://schemas.openxmlformats.org/officeDocument/2006/relationships/image" Target="../media/image83.jpeg"/><Relationship Id="rId29" Type="http://schemas.openxmlformats.org/officeDocument/2006/relationships/image" Target="../media/image92.jpeg"/><Relationship Id="rId41" Type="http://schemas.openxmlformats.org/officeDocument/2006/relationships/image" Target="../media/image101.jpeg"/><Relationship Id="rId54" Type="http://schemas.openxmlformats.org/officeDocument/2006/relationships/image" Target="../media/image114.jpeg"/><Relationship Id="rId1" Type="http://schemas.openxmlformats.org/officeDocument/2006/relationships/image" Target="../media/image67.jpeg"/><Relationship Id="rId6" Type="http://schemas.openxmlformats.org/officeDocument/2006/relationships/image" Target="../media/image14.jpeg"/><Relationship Id="rId11" Type="http://schemas.openxmlformats.org/officeDocument/2006/relationships/image" Target="../media/image19.jpeg"/><Relationship Id="rId24" Type="http://schemas.openxmlformats.org/officeDocument/2006/relationships/image" Target="../media/image87.jpeg"/><Relationship Id="rId32" Type="http://schemas.openxmlformats.org/officeDocument/2006/relationships/image" Target="../media/image94.jpeg"/><Relationship Id="rId37" Type="http://schemas.openxmlformats.org/officeDocument/2006/relationships/image" Target="../media/image98.jpeg"/><Relationship Id="rId40" Type="http://schemas.openxmlformats.org/officeDocument/2006/relationships/image" Target="../media/image50.jpeg"/><Relationship Id="rId45" Type="http://schemas.openxmlformats.org/officeDocument/2006/relationships/image" Target="../media/image105.jpeg"/><Relationship Id="rId53" Type="http://schemas.openxmlformats.org/officeDocument/2006/relationships/image" Target="../media/image113.jpeg"/><Relationship Id="rId5" Type="http://schemas.openxmlformats.org/officeDocument/2006/relationships/image" Target="../media/image70.jpeg"/><Relationship Id="rId15" Type="http://schemas.openxmlformats.org/officeDocument/2006/relationships/image" Target="../media/image78.jpeg"/><Relationship Id="rId23" Type="http://schemas.openxmlformats.org/officeDocument/2006/relationships/image" Target="../media/image86.jpeg"/><Relationship Id="rId28" Type="http://schemas.openxmlformats.org/officeDocument/2006/relationships/image" Target="../media/image91.jpeg"/><Relationship Id="rId36" Type="http://schemas.openxmlformats.org/officeDocument/2006/relationships/image" Target="../media/image97.jpeg"/><Relationship Id="rId49" Type="http://schemas.openxmlformats.org/officeDocument/2006/relationships/image" Target="../media/image109.jpeg"/><Relationship Id="rId57" Type="http://schemas.openxmlformats.org/officeDocument/2006/relationships/image" Target="../media/image117.jpeg"/><Relationship Id="rId10" Type="http://schemas.openxmlformats.org/officeDocument/2006/relationships/image" Target="../media/image74.jpeg"/><Relationship Id="rId19" Type="http://schemas.openxmlformats.org/officeDocument/2006/relationships/image" Target="../media/image82.jpeg"/><Relationship Id="rId31" Type="http://schemas.openxmlformats.org/officeDocument/2006/relationships/image" Target="../media/image44.jpeg"/><Relationship Id="rId44" Type="http://schemas.openxmlformats.org/officeDocument/2006/relationships/image" Target="../media/image104.jpeg"/><Relationship Id="rId52" Type="http://schemas.openxmlformats.org/officeDocument/2006/relationships/image" Target="../media/image112.jpeg"/><Relationship Id="rId4" Type="http://schemas.openxmlformats.org/officeDocument/2006/relationships/image" Target="../media/image12.jpeg"/><Relationship Id="rId9" Type="http://schemas.openxmlformats.org/officeDocument/2006/relationships/image" Target="../media/image73.jpeg"/><Relationship Id="rId14" Type="http://schemas.openxmlformats.org/officeDocument/2006/relationships/image" Target="../media/image77.jpeg"/><Relationship Id="rId22" Type="http://schemas.openxmlformats.org/officeDocument/2006/relationships/image" Target="../media/image85.jpeg"/><Relationship Id="rId27" Type="http://schemas.openxmlformats.org/officeDocument/2006/relationships/image" Target="../media/image90.jpeg"/><Relationship Id="rId30" Type="http://schemas.openxmlformats.org/officeDocument/2006/relationships/image" Target="../media/image93.jpeg"/><Relationship Id="rId35" Type="http://schemas.openxmlformats.org/officeDocument/2006/relationships/image" Target="../media/image96.jpeg"/><Relationship Id="rId43" Type="http://schemas.openxmlformats.org/officeDocument/2006/relationships/image" Target="../media/image103.jpeg"/><Relationship Id="rId48" Type="http://schemas.openxmlformats.org/officeDocument/2006/relationships/image" Target="../media/image108.jpeg"/><Relationship Id="rId56" Type="http://schemas.openxmlformats.org/officeDocument/2006/relationships/image" Target="../media/image116.jpeg"/><Relationship Id="rId8" Type="http://schemas.openxmlformats.org/officeDocument/2006/relationships/image" Target="../media/image72.jpeg"/><Relationship Id="rId51" Type="http://schemas.openxmlformats.org/officeDocument/2006/relationships/image" Target="../media/image111.jpeg"/><Relationship Id="rId3" Type="http://schemas.openxmlformats.org/officeDocument/2006/relationships/image" Target="../media/image69.jpe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7.jpeg"/><Relationship Id="rId18" Type="http://schemas.openxmlformats.org/officeDocument/2006/relationships/image" Target="../media/image132.jpeg"/><Relationship Id="rId26" Type="http://schemas.openxmlformats.org/officeDocument/2006/relationships/image" Target="../media/image140.jpeg"/><Relationship Id="rId39" Type="http://schemas.openxmlformats.org/officeDocument/2006/relationships/image" Target="../media/image153.jpeg"/><Relationship Id="rId21" Type="http://schemas.openxmlformats.org/officeDocument/2006/relationships/image" Target="../media/image135.jpeg"/><Relationship Id="rId34" Type="http://schemas.openxmlformats.org/officeDocument/2006/relationships/image" Target="../media/image148.jpeg"/><Relationship Id="rId42" Type="http://schemas.openxmlformats.org/officeDocument/2006/relationships/image" Target="../media/image155.jpeg"/><Relationship Id="rId47" Type="http://schemas.openxmlformats.org/officeDocument/2006/relationships/image" Target="../media/image160.jpeg"/><Relationship Id="rId50" Type="http://schemas.openxmlformats.org/officeDocument/2006/relationships/image" Target="../media/image163.jpeg"/><Relationship Id="rId55" Type="http://schemas.openxmlformats.org/officeDocument/2006/relationships/image" Target="../media/image168.png"/><Relationship Id="rId7" Type="http://schemas.openxmlformats.org/officeDocument/2006/relationships/image" Target="../media/image123.jpeg"/><Relationship Id="rId12" Type="http://schemas.openxmlformats.org/officeDocument/2006/relationships/image" Target="../media/image126.jpeg"/><Relationship Id="rId17" Type="http://schemas.openxmlformats.org/officeDocument/2006/relationships/image" Target="../media/image131.jpeg"/><Relationship Id="rId25" Type="http://schemas.openxmlformats.org/officeDocument/2006/relationships/image" Target="../media/image139.jpeg"/><Relationship Id="rId33" Type="http://schemas.openxmlformats.org/officeDocument/2006/relationships/image" Target="../media/image147.jpeg"/><Relationship Id="rId38" Type="http://schemas.openxmlformats.org/officeDocument/2006/relationships/image" Target="../media/image152.jpeg"/><Relationship Id="rId46" Type="http://schemas.openxmlformats.org/officeDocument/2006/relationships/image" Target="../media/image159.jpeg"/><Relationship Id="rId2" Type="http://schemas.openxmlformats.org/officeDocument/2006/relationships/image" Target="../media/image119.jpeg"/><Relationship Id="rId16" Type="http://schemas.openxmlformats.org/officeDocument/2006/relationships/image" Target="../media/image130.jpeg"/><Relationship Id="rId20" Type="http://schemas.openxmlformats.org/officeDocument/2006/relationships/image" Target="../media/image134.jpeg"/><Relationship Id="rId29" Type="http://schemas.openxmlformats.org/officeDocument/2006/relationships/image" Target="../media/image143.jpeg"/><Relationship Id="rId41" Type="http://schemas.openxmlformats.org/officeDocument/2006/relationships/image" Target="../media/image31.jpeg"/><Relationship Id="rId54" Type="http://schemas.openxmlformats.org/officeDocument/2006/relationships/image" Target="../media/image167.jpeg"/><Relationship Id="rId1" Type="http://schemas.openxmlformats.org/officeDocument/2006/relationships/image" Target="../media/image118.jpeg"/><Relationship Id="rId6" Type="http://schemas.openxmlformats.org/officeDocument/2006/relationships/image" Target="../media/image39.jpeg"/><Relationship Id="rId11" Type="http://schemas.openxmlformats.org/officeDocument/2006/relationships/image" Target="../media/image125.jpeg"/><Relationship Id="rId24" Type="http://schemas.openxmlformats.org/officeDocument/2006/relationships/image" Target="../media/image138.jpeg"/><Relationship Id="rId32" Type="http://schemas.openxmlformats.org/officeDocument/2006/relationships/image" Target="../media/image146.jpeg"/><Relationship Id="rId37" Type="http://schemas.openxmlformats.org/officeDocument/2006/relationships/image" Target="../media/image151.jpeg"/><Relationship Id="rId40" Type="http://schemas.openxmlformats.org/officeDocument/2006/relationships/image" Target="../media/image154.jpeg"/><Relationship Id="rId45" Type="http://schemas.openxmlformats.org/officeDocument/2006/relationships/image" Target="../media/image158.jpeg"/><Relationship Id="rId53" Type="http://schemas.openxmlformats.org/officeDocument/2006/relationships/image" Target="../media/image166.jpeg"/><Relationship Id="rId5" Type="http://schemas.openxmlformats.org/officeDocument/2006/relationships/image" Target="../media/image122.jpeg"/><Relationship Id="rId15" Type="http://schemas.openxmlformats.org/officeDocument/2006/relationships/image" Target="../media/image129.jpeg"/><Relationship Id="rId23" Type="http://schemas.openxmlformats.org/officeDocument/2006/relationships/image" Target="../media/image137.jpeg"/><Relationship Id="rId28" Type="http://schemas.openxmlformats.org/officeDocument/2006/relationships/image" Target="../media/image142.jpeg"/><Relationship Id="rId36" Type="http://schemas.openxmlformats.org/officeDocument/2006/relationships/image" Target="../media/image150.jpeg"/><Relationship Id="rId49" Type="http://schemas.openxmlformats.org/officeDocument/2006/relationships/image" Target="../media/image162.jpeg"/><Relationship Id="rId10" Type="http://schemas.openxmlformats.org/officeDocument/2006/relationships/image" Target="../media/image124.jpeg"/><Relationship Id="rId19" Type="http://schemas.openxmlformats.org/officeDocument/2006/relationships/image" Target="../media/image133.jpeg"/><Relationship Id="rId31" Type="http://schemas.openxmlformats.org/officeDocument/2006/relationships/image" Target="../media/image145.jpeg"/><Relationship Id="rId44" Type="http://schemas.openxmlformats.org/officeDocument/2006/relationships/image" Target="../media/image157.jpeg"/><Relationship Id="rId52" Type="http://schemas.openxmlformats.org/officeDocument/2006/relationships/image" Target="../media/image165.jpeg"/><Relationship Id="rId4" Type="http://schemas.openxmlformats.org/officeDocument/2006/relationships/image" Target="../media/image121.jpeg"/><Relationship Id="rId9" Type="http://schemas.openxmlformats.org/officeDocument/2006/relationships/image" Target="../media/image43.jpeg"/><Relationship Id="rId14" Type="http://schemas.openxmlformats.org/officeDocument/2006/relationships/image" Target="../media/image128.jpeg"/><Relationship Id="rId22" Type="http://schemas.openxmlformats.org/officeDocument/2006/relationships/image" Target="../media/image136.jpeg"/><Relationship Id="rId27" Type="http://schemas.openxmlformats.org/officeDocument/2006/relationships/image" Target="../media/image141.jpeg"/><Relationship Id="rId30" Type="http://schemas.openxmlformats.org/officeDocument/2006/relationships/image" Target="../media/image144.jpeg"/><Relationship Id="rId35" Type="http://schemas.openxmlformats.org/officeDocument/2006/relationships/image" Target="../media/image149.jpeg"/><Relationship Id="rId43" Type="http://schemas.openxmlformats.org/officeDocument/2006/relationships/image" Target="../media/image156.jpeg"/><Relationship Id="rId48" Type="http://schemas.openxmlformats.org/officeDocument/2006/relationships/image" Target="../media/image161.jpeg"/><Relationship Id="rId8" Type="http://schemas.openxmlformats.org/officeDocument/2006/relationships/image" Target="../media/image42.jpeg"/><Relationship Id="rId51" Type="http://schemas.openxmlformats.org/officeDocument/2006/relationships/image" Target="../media/image164.jpeg"/><Relationship Id="rId3" Type="http://schemas.openxmlformats.org/officeDocument/2006/relationships/image" Target="../media/image120.jpe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79.jpeg"/><Relationship Id="rId18" Type="http://schemas.openxmlformats.org/officeDocument/2006/relationships/image" Target="../media/image184.jpeg"/><Relationship Id="rId26" Type="http://schemas.openxmlformats.org/officeDocument/2006/relationships/image" Target="../media/image192.jpeg"/><Relationship Id="rId39" Type="http://schemas.openxmlformats.org/officeDocument/2006/relationships/image" Target="../media/image204.jpeg"/><Relationship Id="rId21" Type="http://schemas.openxmlformats.org/officeDocument/2006/relationships/image" Target="../media/image187.jpeg"/><Relationship Id="rId34" Type="http://schemas.openxmlformats.org/officeDocument/2006/relationships/image" Target="../media/image199.jpeg"/><Relationship Id="rId42" Type="http://schemas.openxmlformats.org/officeDocument/2006/relationships/image" Target="../media/image207.jpeg"/><Relationship Id="rId47" Type="http://schemas.openxmlformats.org/officeDocument/2006/relationships/image" Target="../media/image212.jpeg"/><Relationship Id="rId50" Type="http://schemas.openxmlformats.org/officeDocument/2006/relationships/image" Target="../media/image215.jpeg"/><Relationship Id="rId55" Type="http://schemas.openxmlformats.org/officeDocument/2006/relationships/image" Target="../media/image218.jpeg"/><Relationship Id="rId7" Type="http://schemas.openxmlformats.org/officeDocument/2006/relationships/image" Target="../media/image173.jpeg"/><Relationship Id="rId12" Type="http://schemas.openxmlformats.org/officeDocument/2006/relationships/image" Target="../media/image178.jpeg"/><Relationship Id="rId17" Type="http://schemas.openxmlformats.org/officeDocument/2006/relationships/image" Target="../media/image183.jpeg"/><Relationship Id="rId25" Type="http://schemas.openxmlformats.org/officeDocument/2006/relationships/image" Target="../media/image191.jpeg"/><Relationship Id="rId33" Type="http://schemas.openxmlformats.org/officeDocument/2006/relationships/image" Target="../media/image198.jpeg"/><Relationship Id="rId38" Type="http://schemas.openxmlformats.org/officeDocument/2006/relationships/image" Target="../media/image203.jpeg"/><Relationship Id="rId46" Type="http://schemas.openxmlformats.org/officeDocument/2006/relationships/image" Target="../media/image211.jpeg"/><Relationship Id="rId2" Type="http://schemas.openxmlformats.org/officeDocument/2006/relationships/image" Target="../media/image169.jpeg"/><Relationship Id="rId16" Type="http://schemas.openxmlformats.org/officeDocument/2006/relationships/image" Target="../media/image182.jpeg"/><Relationship Id="rId20" Type="http://schemas.openxmlformats.org/officeDocument/2006/relationships/image" Target="../media/image186.jpeg"/><Relationship Id="rId29" Type="http://schemas.openxmlformats.org/officeDocument/2006/relationships/image" Target="../media/image194.jpeg"/><Relationship Id="rId41" Type="http://schemas.openxmlformats.org/officeDocument/2006/relationships/image" Target="../media/image206.jpeg"/><Relationship Id="rId54" Type="http://schemas.openxmlformats.org/officeDocument/2006/relationships/image" Target="../media/image217.jpeg"/><Relationship Id="rId1" Type="http://schemas.openxmlformats.org/officeDocument/2006/relationships/image" Target="../media/image90.jpeg"/><Relationship Id="rId6" Type="http://schemas.openxmlformats.org/officeDocument/2006/relationships/image" Target="../media/image172.jpeg"/><Relationship Id="rId11" Type="http://schemas.openxmlformats.org/officeDocument/2006/relationships/image" Target="../media/image177.jpeg"/><Relationship Id="rId24" Type="http://schemas.openxmlformats.org/officeDocument/2006/relationships/image" Target="../media/image190.jpeg"/><Relationship Id="rId32" Type="http://schemas.openxmlformats.org/officeDocument/2006/relationships/image" Target="../media/image197.jpeg"/><Relationship Id="rId37" Type="http://schemas.openxmlformats.org/officeDocument/2006/relationships/image" Target="../media/image202.jpeg"/><Relationship Id="rId40" Type="http://schemas.openxmlformats.org/officeDocument/2006/relationships/image" Target="../media/image205.jpeg"/><Relationship Id="rId45" Type="http://schemas.openxmlformats.org/officeDocument/2006/relationships/image" Target="../media/image210.jpeg"/><Relationship Id="rId53" Type="http://schemas.openxmlformats.org/officeDocument/2006/relationships/image" Target="../media/image97.jpeg"/><Relationship Id="rId5" Type="http://schemas.openxmlformats.org/officeDocument/2006/relationships/image" Target="../media/image171.jpeg"/><Relationship Id="rId15" Type="http://schemas.openxmlformats.org/officeDocument/2006/relationships/image" Target="../media/image181.jpeg"/><Relationship Id="rId23" Type="http://schemas.openxmlformats.org/officeDocument/2006/relationships/image" Target="../media/image189.jpeg"/><Relationship Id="rId28" Type="http://schemas.openxmlformats.org/officeDocument/2006/relationships/image" Target="../media/image84.jpeg"/><Relationship Id="rId36" Type="http://schemas.openxmlformats.org/officeDocument/2006/relationships/image" Target="../media/image201.jpeg"/><Relationship Id="rId49" Type="http://schemas.openxmlformats.org/officeDocument/2006/relationships/image" Target="../media/image214.jpeg"/><Relationship Id="rId10" Type="http://schemas.openxmlformats.org/officeDocument/2006/relationships/image" Target="../media/image176.jpeg"/><Relationship Id="rId19" Type="http://schemas.openxmlformats.org/officeDocument/2006/relationships/image" Target="../media/image185.jpeg"/><Relationship Id="rId31" Type="http://schemas.openxmlformats.org/officeDocument/2006/relationships/image" Target="../media/image196.jpeg"/><Relationship Id="rId44" Type="http://schemas.openxmlformats.org/officeDocument/2006/relationships/image" Target="../media/image209.jpeg"/><Relationship Id="rId52" Type="http://schemas.openxmlformats.org/officeDocument/2006/relationships/image" Target="../media/image96.jpeg"/><Relationship Id="rId4" Type="http://schemas.openxmlformats.org/officeDocument/2006/relationships/image" Target="../media/image170.jpeg"/><Relationship Id="rId9" Type="http://schemas.openxmlformats.org/officeDocument/2006/relationships/image" Target="../media/image175.jpeg"/><Relationship Id="rId14" Type="http://schemas.openxmlformats.org/officeDocument/2006/relationships/image" Target="../media/image180.jpeg"/><Relationship Id="rId22" Type="http://schemas.openxmlformats.org/officeDocument/2006/relationships/image" Target="../media/image188.jpeg"/><Relationship Id="rId27" Type="http://schemas.openxmlformats.org/officeDocument/2006/relationships/image" Target="../media/image193.jpeg"/><Relationship Id="rId30" Type="http://schemas.openxmlformats.org/officeDocument/2006/relationships/image" Target="../media/image195.jpeg"/><Relationship Id="rId35" Type="http://schemas.openxmlformats.org/officeDocument/2006/relationships/image" Target="../media/image200.jpeg"/><Relationship Id="rId43" Type="http://schemas.openxmlformats.org/officeDocument/2006/relationships/image" Target="../media/image208.jpeg"/><Relationship Id="rId48" Type="http://schemas.openxmlformats.org/officeDocument/2006/relationships/image" Target="../media/image213.jpeg"/><Relationship Id="rId56" Type="http://schemas.openxmlformats.org/officeDocument/2006/relationships/image" Target="../media/image219.jpeg"/><Relationship Id="rId8" Type="http://schemas.openxmlformats.org/officeDocument/2006/relationships/image" Target="../media/image174.jpeg"/><Relationship Id="rId51" Type="http://schemas.openxmlformats.org/officeDocument/2006/relationships/image" Target="../media/image216.jpeg"/><Relationship Id="rId3" Type="http://schemas.openxmlformats.org/officeDocument/2006/relationships/image" Target="../media/image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47625</xdr:rowOff>
    </xdr:from>
    <xdr:to>
      <xdr:col>0</xdr:col>
      <xdr:colOff>866775</xdr:colOff>
      <xdr:row>2</xdr:row>
      <xdr:rowOff>465455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671859-605E-43BC-A7CA-085E89F31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734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</xdr:row>
      <xdr:rowOff>47625</xdr:rowOff>
    </xdr:from>
    <xdr:to>
      <xdr:col>0</xdr:col>
      <xdr:colOff>866775</xdr:colOff>
      <xdr:row>3</xdr:row>
      <xdr:rowOff>465455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C0431A-68D6-496C-BD92-10B36FBF2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839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</xdr:row>
      <xdr:rowOff>47625</xdr:rowOff>
    </xdr:from>
    <xdr:to>
      <xdr:col>0</xdr:col>
      <xdr:colOff>866775</xdr:colOff>
      <xdr:row>4</xdr:row>
      <xdr:rowOff>465455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005FCF-12D3-4D58-AB4A-3B2B40DC1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944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</xdr:row>
      <xdr:rowOff>47625</xdr:rowOff>
    </xdr:from>
    <xdr:to>
      <xdr:col>0</xdr:col>
      <xdr:colOff>866775</xdr:colOff>
      <xdr:row>2</xdr:row>
      <xdr:rowOff>465455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B3F560-22ED-4003-9868-050D91F42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734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</xdr:row>
      <xdr:rowOff>47625</xdr:rowOff>
    </xdr:from>
    <xdr:to>
      <xdr:col>0</xdr:col>
      <xdr:colOff>866775</xdr:colOff>
      <xdr:row>3</xdr:row>
      <xdr:rowOff>465455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BD2516-A1C4-427B-809B-569EA19B1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839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</xdr:row>
      <xdr:rowOff>47625</xdr:rowOff>
    </xdr:from>
    <xdr:to>
      <xdr:col>0</xdr:col>
      <xdr:colOff>866775</xdr:colOff>
      <xdr:row>4</xdr:row>
      <xdr:rowOff>465455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6917F-9289-4741-ADCF-1DC04A62A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944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</xdr:row>
      <xdr:rowOff>47625</xdr:rowOff>
    </xdr:from>
    <xdr:to>
      <xdr:col>0</xdr:col>
      <xdr:colOff>866775</xdr:colOff>
      <xdr:row>5</xdr:row>
      <xdr:rowOff>465455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134FEE8-3598-4A4E-9D8D-C0D03FA39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1050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</xdr:row>
      <xdr:rowOff>47625</xdr:rowOff>
    </xdr:from>
    <xdr:to>
      <xdr:col>0</xdr:col>
      <xdr:colOff>866775</xdr:colOff>
      <xdr:row>6</xdr:row>
      <xdr:rowOff>465455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8F6EBCE-8F16-40AA-9184-9035F7813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6155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</xdr:row>
      <xdr:rowOff>47625</xdr:rowOff>
    </xdr:from>
    <xdr:to>
      <xdr:col>0</xdr:col>
      <xdr:colOff>866775</xdr:colOff>
      <xdr:row>7</xdr:row>
      <xdr:rowOff>465455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F7D0176-2915-4E8F-B220-4CBE763C9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1261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</xdr:row>
      <xdr:rowOff>47625</xdr:rowOff>
    </xdr:from>
    <xdr:to>
      <xdr:col>0</xdr:col>
      <xdr:colOff>866775</xdr:colOff>
      <xdr:row>8</xdr:row>
      <xdr:rowOff>465455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7F5C996-F4BF-4BCA-ADFA-9D4EF61CA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6366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</xdr:row>
      <xdr:rowOff>47625</xdr:rowOff>
    </xdr:from>
    <xdr:to>
      <xdr:col>0</xdr:col>
      <xdr:colOff>866775</xdr:colOff>
      <xdr:row>9</xdr:row>
      <xdr:rowOff>465455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A212975-4874-46E1-8CCC-52B2C4644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1471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10</xdr:row>
      <xdr:rowOff>47625</xdr:rowOff>
    </xdr:from>
    <xdr:to>
      <xdr:col>0</xdr:col>
      <xdr:colOff>866775</xdr:colOff>
      <xdr:row>10</xdr:row>
      <xdr:rowOff>465455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56D23CE-FF45-4C57-818A-24C9DB455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6577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11</xdr:row>
      <xdr:rowOff>47625</xdr:rowOff>
    </xdr:from>
    <xdr:to>
      <xdr:col>0</xdr:col>
      <xdr:colOff>866775</xdr:colOff>
      <xdr:row>11</xdr:row>
      <xdr:rowOff>465455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3F18A4A-F52A-4C01-8B35-B40825C78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1682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12</xdr:row>
      <xdr:rowOff>47625</xdr:rowOff>
    </xdr:from>
    <xdr:to>
      <xdr:col>0</xdr:col>
      <xdr:colOff>866775</xdr:colOff>
      <xdr:row>12</xdr:row>
      <xdr:rowOff>465455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B825C82-A67F-46E1-B8B9-BF54CF1D5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6788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13</xdr:row>
      <xdr:rowOff>47625</xdr:rowOff>
    </xdr:from>
    <xdr:to>
      <xdr:col>0</xdr:col>
      <xdr:colOff>866775</xdr:colOff>
      <xdr:row>13</xdr:row>
      <xdr:rowOff>465455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D9F08D9-20E9-416C-A418-469DA6BFA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1893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14</xdr:row>
      <xdr:rowOff>47625</xdr:rowOff>
    </xdr:from>
    <xdr:to>
      <xdr:col>0</xdr:col>
      <xdr:colOff>866775</xdr:colOff>
      <xdr:row>14</xdr:row>
      <xdr:rowOff>465455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71453A8-97FD-4600-B9D5-25CCF5552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998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15</xdr:row>
      <xdr:rowOff>47625</xdr:rowOff>
    </xdr:from>
    <xdr:to>
      <xdr:col>0</xdr:col>
      <xdr:colOff>866775</xdr:colOff>
      <xdr:row>15</xdr:row>
      <xdr:rowOff>465455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2E010A2-B63F-45A4-AF00-C3FFEA9BC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2104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16</xdr:row>
      <xdr:rowOff>47625</xdr:rowOff>
    </xdr:from>
    <xdr:to>
      <xdr:col>0</xdr:col>
      <xdr:colOff>866775</xdr:colOff>
      <xdr:row>16</xdr:row>
      <xdr:rowOff>465455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465D586-A0B5-4EA1-8ABE-AE47A82CE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7209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17</xdr:row>
      <xdr:rowOff>47625</xdr:rowOff>
    </xdr:from>
    <xdr:to>
      <xdr:col>0</xdr:col>
      <xdr:colOff>866775</xdr:colOff>
      <xdr:row>17</xdr:row>
      <xdr:rowOff>465455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FFED847-5BD1-4D5F-9C19-FF01BAD32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2315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18</xdr:row>
      <xdr:rowOff>47625</xdr:rowOff>
    </xdr:from>
    <xdr:to>
      <xdr:col>0</xdr:col>
      <xdr:colOff>866775</xdr:colOff>
      <xdr:row>18</xdr:row>
      <xdr:rowOff>465455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6A59657-D87B-4B3E-91E3-4A0E1E05A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7420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19</xdr:row>
      <xdr:rowOff>47625</xdr:rowOff>
    </xdr:from>
    <xdr:to>
      <xdr:col>0</xdr:col>
      <xdr:colOff>866775</xdr:colOff>
      <xdr:row>19</xdr:row>
      <xdr:rowOff>465455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613D10B-4C80-492C-B3A0-BEE47C59B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2525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20</xdr:row>
      <xdr:rowOff>47625</xdr:rowOff>
    </xdr:from>
    <xdr:to>
      <xdr:col>0</xdr:col>
      <xdr:colOff>866775</xdr:colOff>
      <xdr:row>20</xdr:row>
      <xdr:rowOff>465455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59DB6DD-FC6D-45D8-B515-2C363D687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7631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21</xdr:row>
      <xdr:rowOff>47625</xdr:rowOff>
    </xdr:from>
    <xdr:to>
      <xdr:col>0</xdr:col>
      <xdr:colOff>866775</xdr:colOff>
      <xdr:row>21</xdr:row>
      <xdr:rowOff>465455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BDD6A4A-9279-4618-A154-6445142AB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2736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22</xdr:row>
      <xdr:rowOff>47625</xdr:rowOff>
    </xdr:from>
    <xdr:to>
      <xdr:col>0</xdr:col>
      <xdr:colOff>866775</xdr:colOff>
      <xdr:row>22</xdr:row>
      <xdr:rowOff>465455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1976A02-7410-464A-A320-BCBD8FCFA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7842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23</xdr:row>
      <xdr:rowOff>47625</xdr:rowOff>
    </xdr:from>
    <xdr:to>
      <xdr:col>0</xdr:col>
      <xdr:colOff>866775</xdr:colOff>
      <xdr:row>23</xdr:row>
      <xdr:rowOff>465455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288666C-49AD-48BC-9180-0E51C0719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2947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24</xdr:row>
      <xdr:rowOff>47625</xdr:rowOff>
    </xdr:from>
    <xdr:to>
      <xdr:col>0</xdr:col>
      <xdr:colOff>866775</xdr:colOff>
      <xdr:row>24</xdr:row>
      <xdr:rowOff>465455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984ABD9-5136-4644-B58B-D059ECF70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8052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25</xdr:row>
      <xdr:rowOff>47625</xdr:rowOff>
    </xdr:from>
    <xdr:to>
      <xdr:col>0</xdr:col>
      <xdr:colOff>866775</xdr:colOff>
      <xdr:row>25</xdr:row>
      <xdr:rowOff>465455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B7EB0B6-FA8C-4AFA-88B3-393C79EEE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3158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26</xdr:row>
      <xdr:rowOff>47625</xdr:rowOff>
    </xdr:from>
    <xdr:to>
      <xdr:col>0</xdr:col>
      <xdr:colOff>866775</xdr:colOff>
      <xdr:row>26</xdr:row>
      <xdr:rowOff>465455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FE77D3B-B941-4B2C-A379-A4EF2ED03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8263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27</xdr:row>
      <xdr:rowOff>47625</xdr:rowOff>
    </xdr:from>
    <xdr:to>
      <xdr:col>0</xdr:col>
      <xdr:colOff>866775</xdr:colOff>
      <xdr:row>27</xdr:row>
      <xdr:rowOff>465455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2C6A7A3-F035-47FB-A674-6AC6BB46A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3369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28</xdr:row>
      <xdr:rowOff>47625</xdr:rowOff>
    </xdr:from>
    <xdr:to>
      <xdr:col>0</xdr:col>
      <xdr:colOff>866775</xdr:colOff>
      <xdr:row>28</xdr:row>
      <xdr:rowOff>465455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80A2F3A-03ED-4662-941F-5EB6A057B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8474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29</xdr:row>
      <xdr:rowOff>47625</xdr:rowOff>
    </xdr:from>
    <xdr:to>
      <xdr:col>0</xdr:col>
      <xdr:colOff>866775</xdr:colOff>
      <xdr:row>29</xdr:row>
      <xdr:rowOff>465455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2638DF47-D134-4628-AD3A-2F3E2C1E4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3579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30</xdr:row>
      <xdr:rowOff>47625</xdr:rowOff>
    </xdr:from>
    <xdr:to>
      <xdr:col>0</xdr:col>
      <xdr:colOff>866775</xdr:colOff>
      <xdr:row>30</xdr:row>
      <xdr:rowOff>465455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5DE9CC3F-B983-4DD1-9AE3-92833CB98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8685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31</xdr:row>
      <xdr:rowOff>47625</xdr:rowOff>
    </xdr:from>
    <xdr:to>
      <xdr:col>0</xdr:col>
      <xdr:colOff>866775</xdr:colOff>
      <xdr:row>31</xdr:row>
      <xdr:rowOff>465455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A9D0B07-A345-4F7B-AC5E-7E3F3209D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790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32</xdr:row>
      <xdr:rowOff>47625</xdr:rowOff>
    </xdr:from>
    <xdr:to>
      <xdr:col>0</xdr:col>
      <xdr:colOff>866775</xdr:colOff>
      <xdr:row>32</xdr:row>
      <xdr:rowOff>465455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98341B8-6C99-4D01-BD60-07D545A94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8896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33</xdr:row>
      <xdr:rowOff>47625</xdr:rowOff>
    </xdr:from>
    <xdr:to>
      <xdr:col>0</xdr:col>
      <xdr:colOff>866775</xdr:colOff>
      <xdr:row>33</xdr:row>
      <xdr:rowOff>465455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655E60DE-56FE-44C1-B60A-687613CF6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4001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34</xdr:row>
      <xdr:rowOff>47625</xdr:rowOff>
    </xdr:from>
    <xdr:to>
      <xdr:col>0</xdr:col>
      <xdr:colOff>866775</xdr:colOff>
      <xdr:row>34</xdr:row>
      <xdr:rowOff>465455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15930F4-9F0B-4D38-B86C-4A72F05BA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9106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35</xdr:row>
      <xdr:rowOff>47625</xdr:rowOff>
    </xdr:from>
    <xdr:to>
      <xdr:col>0</xdr:col>
      <xdr:colOff>866775</xdr:colOff>
      <xdr:row>35</xdr:row>
      <xdr:rowOff>465455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ADAA9EC-F529-4DB8-BDBE-56427A164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4212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36</xdr:row>
      <xdr:rowOff>47625</xdr:rowOff>
    </xdr:from>
    <xdr:to>
      <xdr:col>0</xdr:col>
      <xdr:colOff>866775</xdr:colOff>
      <xdr:row>36</xdr:row>
      <xdr:rowOff>465455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D428D849-4BD0-43E4-B575-3DB3257D3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9317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37</xdr:row>
      <xdr:rowOff>47625</xdr:rowOff>
    </xdr:from>
    <xdr:to>
      <xdr:col>0</xdr:col>
      <xdr:colOff>866775</xdr:colOff>
      <xdr:row>37</xdr:row>
      <xdr:rowOff>465455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5593F53-FFA0-45B3-876F-4C64B0077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4423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38</xdr:row>
      <xdr:rowOff>47625</xdr:rowOff>
    </xdr:from>
    <xdr:to>
      <xdr:col>0</xdr:col>
      <xdr:colOff>866775</xdr:colOff>
      <xdr:row>38</xdr:row>
      <xdr:rowOff>465455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C3EB929-7251-49BF-B178-639A320C1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9528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39</xdr:row>
      <xdr:rowOff>47625</xdr:rowOff>
    </xdr:from>
    <xdr:to>
      <xdr:col>0</xdr:col>
      <xdr:colOff>866775</xdr:colOff>
      <xdr:row>39</xdr:row>
      <xdr:rowOff>465455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2B674EB-577B-4249-A468-D0B26CC9D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4633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40</xdr:row>
      <xdr:rowOff>47625</xdr:rowOff>
    </xdr:from>
    <xdr:to>
      <xdr:col>0</xdr:col>
      <xdr:colOff>866775</xdr:colOff>
      <xdr:row>40</xdr:row>
      <xdr:rowOff>465455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98BE2E49-D8E8-4B9C-BAF9-6E80BE59D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9739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41</xdr:row>
      <xdr:rowOff>47625</xdr:rowOff>
    </xdr:from>
    <xdr:to>
      <xdr:col>0</xdr:col>
      <xdr:colOff>866775</xdr:colOff>
      <xdr:row>41</xdr:row>
      <xdr:rowOff>465455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F7397E5E-6BDD-488E-9B7E-C0ED73249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4844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42</xdr:row>
      <xdr:rowOff>47625</xdr:rowOff>
    </xdr:from>
    <xdr:to>
      <xdr:col>0</xdr:col>
      <xdr:colOff>866775</xdr:colOff>
      <xdr:row>42</xdr:row>
      <xdr:rowOff>465455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2C9DF8B-1CE0-4AB6-8F5B-943EC53D7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9950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43</xdr:row>
      <xdr:rowOff>47625</xdr:rowOff>
    </xdr:from>
    <xdr:to>
      <xdr:col>0</xdr:col>
      <xdr:colOff>866775</xdr:colOff>
      <xdr:row>43</xdr:row>
      <xdr:rowOff>465455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B7BCABF5-5075-49C9-8658-5420EE9B9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15055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44</xdr:row>
      <xdr:rowOff>47625</xdr:rowOff>
    </xdr:from>
    <xdr:to>
      <xdr:col>0</xdr:col>
      <xdr:colOff>866775</xdr:colOff>
      <xdr:row>44</xdr:row>
      <xdr:rowOff>465455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DA637E1F-2CAA-4DFE-8C02-52D07FE65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20160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45</xdr:row>
      <xdr:rowOff>47625</xdr:rowOff>
    </xdr:from>
    <xdr:to>
      <xdr:col>0</xdr:col>
      <xdr:colOff>866775</xdr:colOff>
      <xdr:row>45</xdr:row>
      <xdr:rowOff>465455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F0A52D76-A883-433C-93EF-6FD34BC46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25266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46</xdr:row>
      <xdr:rowOff>47625</xdr:rowOff>
    </xdr:from>
    <xdr:to>
      <xdr:col>0</xdr:col>
      <xdr:colOff>866775</xdr:colOff>
      <xdr:row>46</xdr:row>
      <xdr:rowOff>465455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BD0F0F65-9C4B-46BC-ACE8-FF3890ED3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30371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47</xdr:row>
      <xdr:rowOff>47625</xdr:rowOff>
    </xdr:from>
    <xdr:to>
      <xdr:col>0</xdr:col>
      <xdr:colOff>866775</xdr:colOff>
      <xdr:row>47</xdr:row>
      <xdr:rowOff>465455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C7E9EA61-DC11-4A7F-AEE7-37984DA59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35477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48</xdr:row>
      <xdr:rowOff>47625</xdr:rowOff>
    </xdr:from>
    <xdr:to>
      <xdr:col>0</xdr:col>
      <xdr:colOff>866775</xdr:colOff>
      <xdr:row>48</xdr:row>
      <xdr:rowOff>465455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B21AFB8-B305-409F-BE41-9125E5CA9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40582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49</xdr:row>
      <xdr:rowOff>47625</xdr:rowOff>
    </xdr:from>
    <xdr:to>
      <xdr:col>0</xdr:col>
      <xdr:colOff>866775</xdr:colOff>
      <xdr:row>49</xdr:row>
      <xdr:rowOff>465455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6DDDD586-AF2C-4123-B00D-BA004C59A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45687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50</xdr:row>
      <xdr:rowOff>47625</xdr:rowOff>
    </xdr:from>
    <xdr:to>
      <xdr:col>0</xdr:col>
      <xdr:colOff>866775</xdr:colOff>
      <xdr:row>50</xdr:row>
      <xdr:rowOff>465455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4CDC5464-7767-4E84-9FC3-4841B4CBA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50793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51</xdr:row>
      <xdr:rowOff>47625</xdr:rowOff>
    </xdr:from>
    <xdr:to>
      <xdr:col>0</xdr:col>
      <xdr:colOff>866775</xdr:colOff>
      <xdr:row>51</xdr:row>
      <xdr:rowOff>465455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73EDEAB5-36B1-42D0-BE7F-7BE439DCB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55898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52</xdr:row>
      <xdr:rowOff>47625</xdr:rowOff>
    </xdr:from>
    <xdr:to>
      <xdr:col>0</xdr:col>
      <xdr:colOff>866775</xdr:colOff>
      <xdr:row>52</xdr:row>
      <xdr:rowOff>465455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3B6E9274-A15D-4FCB-9013-837FFAFCB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61004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53</xdr:row>
      <xdr:rowOff>47625</xdr:rowOff>
    </xdr:from>
    <xdr:to>
      <xdr:col>0</xdr:col>
      <xdr:colOff>866775</xdr:colOff>
      <xdr:row>53</xdr:row>
      <xdr:rowOff>465455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52AF2BF4-1403-4A56-9938-64BFF1E86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66109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54</xdr:row>
      <xdr:rowOff>47625</xdr:rowOff>
    </xdr:from>
    <xdr:to>
      <xdr:col>0</xdr:col>
      <xdr:colOff>866775</xdr:colOff>
      <xdr:row>54</xdr:row>
      <xdr:rowOff>465455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A291FA5A-1E8F-4288-9C56-0B37AC254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71214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55</xdr:row>
      <xdr:rowOff>47625</xdr:rowOff>
    </xdr:from>
    <xdr:to>
      <xdr:col>0</xdr:col>
      <xdr:colOff>866775</xdr:colOff>
      <xdr:row>55</xdr:row>
      <xdr:rowOff>465455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5CE008E5-F84C-46FA-87E7-91773C8CC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76320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56</xdr:row>
      <xdr:rowOff>47625</xdr:rowOff>
    </xdr:from>
    <xdr:to>
      <xdr:col>0</xdr:col>
      <xdr:colOff>866775</xdr:colOff>
      <xdr:row>56</xdr:row>
      <xdr:rowOff>465455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EAF8632-58DF-4969-9227-FFAAADEBA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81425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57</xdr:row>
      <xdr:rowOff>47625</xdr:rowOff>
    </xdr:from>
    <xdr:to>
      <xdr:col>0</xdr:col>
      <xdr:colOff>866775</xdr:colOff>
      <xdr:row>57</xdr:row>
      <xdr:rowOff>465455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62385472-4B62-4A50-B950-1650FAAB1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86531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58</xdr:row>
      <xdr:rowOff>47625</xdr:rowOff>
    </xdr:from>
    <xdr:to>
      <xdr:col>0</xdr:col>
      <xdr:colOff>866775</xdr:colOff>
      <xdr:row>58</xdr:row>
      <xdr:rowOff>465455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E087D93-4FD2-47DE-AF08-421CC0DA0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91636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59</xdr:row>
      <xdr:rowOff>47625</xdr:rowOff>
    </xdr:from>
    <xdr:to>
      <xdr:col>0</xdr:col>
      <xdr:colOff>866775</xdr:colOff>
      <xdr:row>59</xdr:row>
      <xdr:rowOff>465455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81EF79FF-B75B-42C3-9E76-D28F95612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96741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60</xdr:row>
      <xdr:rowOff>47625</xdr:rowOff>
    </xdr:from>
    <xdr:to>
      <xdr:col>0</xdr:col>
      <xdr:colOff>866775</xdr:colOff>
      <xdr:row>60</xdr:row>
      <xdr:rowOff>465455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FF66FA7C-81A7-4553-B6BE-16B6427C8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01847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61</xdr:row>
      <xdr:rowOff>47625</xdr:rowOff>
    </xdr:from>
    <xdr:to>
      <xdr:col>0</xdr:col>
      <xdr:colOff>866775</xdr:colOff>
      <xdr:row>61</xdr:row>
      <xdr:rowOff>465455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7F658D56-BE8E-4E23-9BA0-CDDBF0126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06952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62</xdr:row>
      <xdr:rowOff>47625</xdr:rowOff>
    </xdr:from>
    <xdr:to>
      <xdr:col>0</xdr:col>
      <xdr:colOff>866775</xdr:colOff>
      <xdr:row>62</xdr:row>
      <xdr:rowOff>465455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AD44ABB-3491-4055-893B-D023915A6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12058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63</xdr:row>
      <xdr:rowOff>47625</xdr:rowOff>
    </xdr:from>
    <xdr:to>
      <xdr:col>0</xdr:col>
      <xdr:colOff>866775</xdr:colOff>
      <xdr:row>63</xdr:row>
      <xdr:rowOff>465455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AEF44567-D521-4D5C-BC2B-99E194EF6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17163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64</xdr:row>
      <xdr:rowOff>47625</xdr:rowOff>
    </xdr:from>
    <xdr:to>
      <xdr:col>0</xdr:col>
      <xdr:colOff>866775</xdr:colOff>
      <xdr:row>64</xdr:row>
      <xdr:rowOff>465455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B03576E6-D3A3-493E-9547-7903F427C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22268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65</xdr:row>
      <xdr:rowOff>47625</xdr:rowOff>
    </xdr:from>
    <xdr:to>
      <xdr:col>0</xdr:col>
      <xdr:colOff>866775</xdr:colOff>
      <xdr:row>65</xdr:row>
      <xdr:rowOff>465455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BD6448D7-4D37-418D-A2C4-E7B11D4C1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27374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66</xdr:row>
      <xdr:rowOff>47625</xdr:rowOff>
    </xdr:from>
    <xdr:to>
      <xdr:col>0</xdr:col>
      <xdr:colOff>866775</xdr:colOff>
      <xdr:row>66</xdr:row>
      <xdr:rowOff>465455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EB1832BF-E02A-4BB2-BACC-EBBDD503C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32479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67</xdr:row>
      <xdr:rowOff>47625</xdr:rowOff>
    </xdr:from>
    <xdr:to>
      <xdr:col>0</xdr:col>
      <xdr:colOff>866775</xdr:colOff>
      <xdr:row>67</xdr:row>
      <xdr:rowOff>465455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CFE0A12E-A0F2-4034-B7BC-8328CEE78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37585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68</xdr:row>
      <xdr:rowOff>47625</xdr:rowOff>
    </xdr:from>
    <xdr:to>
      <xdr:col>0</xdr:col>
      <xdr:colOff>866775</xdr:colOff>
      <xdr:row>68</xdr:row>
      <xdr:rowOff>465455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56B0AE96-31F3-4520-AED3-94CFD0B07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42690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69</xdr:row>
      <xdr:rowOff>47625</xdr:rowOff>
    </xdr:from>
    <xdr:to>
      <xdr:col>0</xdr:col>
      <xdr:colOff>866775</xdr:colOff>
      <xdr:row>69</xdr:row>
      <xdr:rowOff>465455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DD27394E-EB61-433E-84DE-896ED787B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47795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70</xdr:row>
      <xdr:rowOff>47625</xdr:rowOff>
    </xdr:from>
    <xdr:to>
      <xdr:col>0</xdr:col>
      <xdr:colOff>866775</xdr:colOff>
      <xdr:row>70</xdr:row>
      <xdr:rowOff>465455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40DFCB97-1AA1-42CD-85FA-BC4D96CFB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52901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71</xdr:row>
      <xdr:rowOff>47625</xdr:rowOff>
    </xdr:from>
    <xdr:to>
      <xdr:col>0</xdr:col>
      <xdr:colOff>866775</xdr:colOff>
      <xdr:row>71</xdr:row>
      <xdr:rowOff>465455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5FB71C87-6FEF-41C4-95EA-A4FDBF6E4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58006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72</xdr:row>
      <xdr:rowOff>47625</xdr:rowOff>
    </xdr:from>
    <xdr:to>
      <xdr:col>0</xdr:col>
      <xdr:colOff>866775</xdr:colOff>
      <xdr:row>72</xdr:row>
      <xdr:rowOff>465455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3387A387-7FD2-4A59-BEFF-A6C9C016F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63112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73</xdr:row>
      <xdr:rowOff>47625</xdr:rowOff>
    </xdr:from>
    <xdr:to>
      <xdr:col>0</xdr:col>
      <xdr:colOff>866775</xdr:colOff>
      <xdr:row>73</xdr:row>
      <xdr:rowOff>465455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6BA6BC9C-C477-4676-9366-1E7FDBE7A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68217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74</xdr:row>
      <xdr:rowOff>47625</xdr:rowOff>
    </xdr:from>
    <xdr:to>
      <xdr:col>0</xdr:col>
      <xdr:colOff>866775</xdr:colOff>
      <xdr:row>74</xdr:row>
      <xdr:rowOff>465455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C89B5F80-BB36-4C7F-A16A-83BFD9B46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73322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75</xdr:row>
      <xdr:rowOff>47625</xdr:rowOff>
    </xdr:from>
    <xdr:to>
      <xdr:col>0</xdr:col>
      <xdr:colOff>866775</xdr:colOff>
      <xdr:row>75</xdr:row>
      <xdr:rowOff>465455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40433F2A-4AAE-4E9F-A7A0-62DD360CD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78428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76</xdr:row>
      <xdr:rowOff>47625</xdr:rowOff>
    </xdr:from>
    <xdr:to>
      <xdr:col>0</xdr:col>
      <xdr:colOff>866775</xdr:colOff>
      <xdr:row>76</xdr:row>
      <xdr:rowOff>465455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7AD7E956-D90C-4951-91CB-667ABE089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83533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77</xdr:row>
      <xdr:rowOff>47625</xdr:rowOff>
    </xdr:from>
    <xdr:to>
      <xdr:col>0</xdr:col>
      <xdr:colOff>866775</xdr:colOff>
      <xdr:row>77</xdr:row>
      <xdr:rowOff>465455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551CF022-4DCC-4952-97B6-AD93DBF07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88639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78</xdr:row>
      <xdr:rowOff>47625</xdr:rowOff>
    </xdr:from>
    <xdr:to>
      <xdr:col>0</xdr:col>
      <xdr:colOff>866775</xdr:colOff>
      <xdr:row>78</xdr:row>
      <xdr:rowOff>465455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9FAF526-2527-42FA-B26F-A72F43F1C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93744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79</xdr:row>
      <xdr:rowOff>47625</xdr:rowOff>
    </xdr:from>
    <xdr:to>
      <xdr:col>0</xdr:col>
      <xdr:colOff>866775</xdr:colOff>
      <xdr:row>79</xdr:row>
      <xdr:rowOff>465455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985EE1DC-258B-4320-82C3-7EB97005C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98849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80</xdr:row>
      <xdr:rowOff>47625</xdr:rowOff>
    </xdr:from>
    <xdr:to>
      <xdr:col>0</xdr:col>
      <xdr:colOff>866775</xdr:colOff>
      <xdr:row>80</xdr:row>
      <xdr:rowOff>465455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2984F390-D363-4955-87A2-8F7590CB5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03955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81</xdr:row>
      <xdr:rowOff>47625</xdr:rowOff>
    </xdr:from>
    <xdr:to>
      <xdr:col>0</xdr:col>
      <xdr:colOff>866775</xdr:colOff>
      <xdr:row>81</xdr:row>
      <xdr:rowOff>465455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7498CB4F-2942-4D6A-8E29-5B85F3E62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09060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82</xdr:row>
      <xdr:rowOff>47625</xdr:rowOff>
    </xdr:from>
    <xdr:to>
      <xdr:col>0</xdr:col>
      <xdr:colOff>866775</xdr:colOff>
      <xdr:row>82</xdr:row>
      <xdr:rowOff>465455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6E8AA400-0FDB-4B19-9AA1-5CA0A62B8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14166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83</xdr:row>
      <xdr:rowOff>47625</xdr:rowOff>
    </xdr:from>
    <xdr:to>
      <xdr:col>0</xdr:col>
      <xdr:colOff>866775</xdr:colOff>
      <xdr:row>83</xdr:row>
      <xdr:rowOff>465455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33A6AD24-27D0-43D1-A259-D0CD72FEF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19271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84</xdr:row>
      <xdr:rowOff>47625</xdr:rowOff>
    </xdr:from>
    <xdr:to>
      <xdr:col>0</xdr:col>
      <xdr:colOff>866775</xdr:colOff>
      <xdr:row>84</xdr:row>
      <xdr:rowOff>465455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F5847D59-6A98-49B6-8BEF-D646FEF65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24376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85</xdr:row>
      <xdr:rowOff>47625</xdr:rowOff>
    </xdr:from>
    <xdr:to>
      <xdr:col>0</xdr:col>
      <xdr:colOff>866775</xdr:colOff>
      <xdr:row>85</xdr:row>
      <xdr:rowOff>465455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3892CE05-BEE2-40D3-8344-4852F528A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29482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86</xdr:row>
      <xdr:rowOff>47625</xdr:rowOff>
    </xdr:from>
    <xdr:to>
      <xdr:col>0</xdr:col>
      <xdr:colOff>866775</xdr:colOff>
      <xdr:row>86</xdr:row>
      <xdr:rowOff>465455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85139E2-05C7-42F5-A09A-9C70C1F64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34587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87</xdr:row>
      <xdr:rowOff>47625</xdr:rowOff>
    </xdr:from>
    <xdr:to>
      <xdr:col>0</xdr:col>
      <xdr:colOff>866775</xdr:colOff>
      <xdr:row>87</xdr:row>
      <xdr:rowOff>465455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587A648-D60D-4C30-9519-4611D5959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39693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88</xdr:row>
      <xdr:rowOff>47625</xdr:rowOff>
    </xdr:from>
    <xdr:to>
      <xdr:col>0</xdr:col>
      <xdr:colOff>866775</xdr:colOff>
      <xdr:row>88</xdr:row>
      <xdr:rowOff>465455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47ECC90E-9E7F-48B0-9346-B58C4C786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44798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89</xdr:row>
      <xdr:rowOff>47625</xdr:rowOff>
    </xdr:from>
    <xdr:to>
      <xdr:col>0</xdr:col>
      <xdr:colOff>866775</xdr:colOff>
      <xdr:row>89</xdr:row>
      <xdr:rowOff>465455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42122B91-CAF5-4C57-956A-62EF226DF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49903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90</xdr:row>
      <xdr:rowOff>47625</xdr:rowOff>
    </xdr:from>
    <xdr:to>
      <xdr:col>0</xdr:col>
      <xdr:colOff>866775</xdr:colOff>
      <xdr:row>90</xdr:row>
      <xdr:rowOff>465455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FE732F2A-942F-4A67-9A0B-5722C5573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55009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91</xdr:row>
      <xdr:rowOff>47625</xdr:rowOff>
    </xdr:from>
    <xdr:to>
      <xdr:col>0</xdr:col>
      <xdr:colOff>866775</xdr:colOff>
      <xdr:row>91</xdr:row>
      <xdr:rowOff>465455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8C175630-BB32-4772-99FA-C595481B8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60114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92</xdr:row>
      <xdr:rowOff>47625</xdr:rowOff>
    </xdr:from>
    <xdr:to>
      <xdr:col>0</xdr:col>
      <xdr:colOff>866775</xdr:colOff>
      <xdr:row>92</xdr:row>
      <xdr:rowOff>465455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D4118B7D-7F1A-490E-91CB-56410F2FB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65220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93</xdr:row>
      <xdr:rowOff>47625</xdr:rowOff>
    </xdr:from>
    <xdr:to>
      <xdr:col>0</xdr:col>
      <xdr:colOff>866775</xdr:colOff>
      <xdr:row>93</xdr:row>
      <xdr:rowOff>465455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D2A518D0-D9E9-4961-A84C-067D36AE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70325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94</xdr:row>
      <xdr:rowOff>47625</xdr:rowOff>
    </xdr:from>
    <xdr:to>
      <xdr:col>0</xdr:col>
      <xdr:colOff>866775</xdr:colOff>
      <xdr:row>94</xdr:row>
      <xdr:rowOff>465455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32C3408C-4A38-4961-95A6-B5FEFFD79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75430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95</xdr:row>
      <xdr:rowOff>47625</xdr:rowOff>
    </xdr:from>
    <xdr:to>
      <xdr:col>0</xdr:col>
      <xdr:colOff>866775</xdr:colOff>
      <xdr:row>95</xdr:row>
      <xdr:rowOff>465455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CBD24CBC-6619-4C3D-A361-518FFCA70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80536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96</xdr:row>
      <xdr:rowOff>47625</xdr:rowOff>
    </xdr:from>
    <xdr:to>
      <xdr:col>0</xdr:col>
      <xdr:colOff>866775</xdr:colOff>
      <xdr:row>96</xdr:row>
      <xdr:rowOff>465455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E2F5A16-6792-411C-BD85-31E0FD28B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85641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97</xdr:row>
      <xdr:rowOff>47625</xdr:rowOff>
    </xdr:from>
    <xdr:to>
      <xdr:col>0</xdr:col>
      <xdr:colOff>866775</xdr:colOff>
      <xdr:row>97</xdr:row>
      <xdr:rowOff>465455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AB9539D0-DDA7-4386-AB73-21D848064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90747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98</xdr:row>
      <xdr:rowOff>47625</xdr:rowOff>
    </xdr:from>
    <xdr:to>
      <xdr:col>0</xdr:col>
      <xdr:colOff>866775</xdr:colOff>
      <xdr:row>98</xdr:row>
      <xdr:rowOff>465455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60D2BB27-EE20-40A0-B93F-3962475C8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9585245"/>
          <a:ext cx="666750" cy="417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47625</xdr:rowOff>
    </xdr:from>
    <xdr:to>
      <xdr:col>0</xdr:col>
      <xdr:colOff>866775</xdr:colOff>
      <xdr:row>2</xdr:row>
      <xdr:rowOff>465455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035D77-AD00-488B-A7CA-F7EC6513A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734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</xdr:row>
      <xdr:rowOff>47625</xdr:rowOff>
    </xdr:from>
    <xdr:to>
      <xdr:col>0</xdr:col>
      <xdr:colOff>866775</xdr:colOff>
      <xdr:row>3</xdr:row>
      <xdr:rowOff>465455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C28192-6345-4960-9791-1434D9ED7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839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</xdr:row>
      <xdr:rowOff>47625</xdr:rowOff>
    </xdr:from>
    <xdr:to>
      <xdr:col>0</xdr:col>
      <xdr:colOff>866775</xdr:colOff>
      <xdr:row>4</xdr:row>
      <xdr:rowOff>465455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AE75F2-941F-458E-85CE-361D3B9E9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944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</xdr:row>
      <xdr:rowOff>47625</xdr:rowOff>
    </xdr:from>
    <xdr:to>
      <xdr:col>0</xdr:col>
      <xdr:colOff>866775</xdr:colOff>
      <xdr:row>5</xdr:row>
      <xdr:rowOff>465455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76AAA1-8EA5-41FF-AA00-68D924348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1050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</xdr:row>
      <xdr:rowOff>47625</xdr:rowOff>
    </xdr:from>
    <xdr:to>
      <xdr:col>0</xdr:col>
      <xdr:colOff>866775</xdr:colOff>
      <xdr:row>6</xdr:row>
      <xdr:rowOff>465455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192679-9372-497B-8BA3-D87517DD6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6155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</xdr:row>
      <xdr:rowOff>47625</xdr:rowOff>
    </xdr:from>
    <xdr:to>
      <xdr:col>0</xdr:col>
      <xdr:colOff>866775</xdr:colOff>
      <xdr:row>7</xdr:row>
      <xdr:rowOff>465455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7162BB-3D71-4058-9BE6-863D65CEB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1261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</xdr:row>
      <xdr:rowOff>47625</xdr:rowOff>
    </xdr:from>
    <xdr:to>
      <xdr:col>0</xdr:col>
      <xdr:colOff>866775</xdr:colOff>
      <xdr:row>8</xdr:row>
      <xdr:rowOff>465455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376B50C-8B65-40C5-92D6-0AE053911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6366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</xdr:row>
      <xdr:rowOff>47625</xdr:rowOff>
    </xdr:from>
    <xdr:to>
      <xdr:col>0</xdr:col>
      <xdr:colOff>866775</xdr:colOff>
      <xdr:row>9</xdr:row>
      <xdr:rowOff>465455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E2A8551-9EF0-42AA-B01A-22A4FE81C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1471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10</xdr:row>
      <xdr:rowOff>47625</xdr:rowOff>
    </xdr:from>
    <xdr:to>
      <xdr:col>0</xdr:col>
      <xdr:colOff>866775</xdr:colOff>
      <xdr:row>10</xdr:row>
      <xdr:rowOff>465455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D6108D1-174F-4993-BD73-C588A7EEA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6577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11</xdr:row>
      <xdr:rowOff>47625</xdr:rowOff>
    </xdr:from>
    <xdr:to>
      <xdr:col>0</xdr:col>
      <xdr:colOff>866775</xdr:colOff>
      <xdr:row>11</xdr:row>
      <xdr:rowOff>465455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19853D8-1DED-41EF-BC17-8DE24AFB9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1682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12</xdr:row>
      <xdr:rowOff>47625</xdr:rowOff>
    </xdr:from>
    <xdr:to>
      <xdr:col>0</xdr:col>
      <xdr:colOff>866775</xdr:colOff>
      <xdr:row>12</xdr:row>
      <xdr:rowOff>465455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6633FC7-0C7F-4C60-9C0A-BA5C8EE82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6788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13</xdr:row>
      <xdr:rowOff>47625</xdr:rowOff>
    </xdr:from>
    <xdr:to>
      <xdr:col>0</xdr:col>
      <xdr:colOff>866775</xdr:colOff>
      <xdr:row>13</xdr:row>
      <xdr:rowOff>465455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1CA8233-B7E6-49A7-8A13-34F040CAF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1893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14</xdr:row>
      <xdr:rowOff>47625</xdr:rowOff>
    </xdr:from>
    <xdr:to>
      <xdr:col>0</xdr:col>
      <xdr:colOff>866775</xdr:colOff>
      <xdr:row>14</xdr:row>
      <xdr:rowOff>465455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B197D01-97F6-4311-A313-DAECBDB89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998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15</xdr:row>
      <xdr:rowOff>47625</xdr:rowOff>
    </xdr:from>
    <xdr:to>
      <xdr:col>0</xdr:col>
      <xdr:colOff>866775</xdr:colOff>
      <xdr:row>15</xdr:row>
      <xdr:rowOff>465455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D71EAA3-5E02-4111-920B-08CEB048C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2104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16</xdr:row>
      <xdr:rowOff>47625</xdr:rowOff>
    </xdr:from>
    <xdr:to>
      <xdr:col>0</xdr:col>
      <xdr:colOff>866775</xdr:colOff>
      <xdr:row>16</xdr:row>
      <xdr:rowOff>465455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312B578-88C7-4F73-AB0F-755BED18A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7209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17</xdr:row>
      <xdr:rowOff>47625</xdr:rowOff>
    </xdr:from>
    <xdr:to>
      <xdr:col>0</xdr:col>
      <xdr:colOff>866775</xdr:colOff>
      <xdr:row>17</xdr:row>
      <xdr:rowOff>465455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A1BBA9E-78FE-40BE-8D29-22822F31C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2315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18</xdr:row>
      <xdr:rowOff>47625</xdr:rowOff>
    </xdr:from>
    <xdr:to>
      <xdr:col>0</xdr:col>
      <xdr:colOff>866775</xdr:colOff>
      <xdr:row>18</xdr:row>
      <xdr:rowOff>465455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24BCA65-7973-44BE-84E6-10060F4B7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7420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19</xdr:row>
      <xdr:rowOff>47625</xdr:rowOff>
    </xdr:from>
    <xdr:to>
      <xdr:col>0</xdr:col>
      <xdr:colOff>866775</xdr:colOff>
      <xdr:row>19</xdr:row>
      <xdr:rowOff>465455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AA8B1A7-1F9D-4E69-848D-588467000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2525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20</xdr:row>
      <xdr:rowOff>47625</xdr:rowOff>
    </xdr:from>
    <xdr:to>
      <xdr:col>0</xdr:col>
      <xdr:colOff>866775</xdr:colOff>
      <xdr:row>20</xdr:row>
      <xdr:rowOff>465455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0D42C69-DE6C-41EC-8DC0-824936BA6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7631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21</xdr:row>
      <xdr:rowOff>47625</xdr:rowOff>
    </xdr:from>
    <xdr:to>
      <xdr:col>0</xdr:col>
      <xdr:colOff>866775</xdr:colOff>
      <xdr:row>21</xdr:row>
      <xdr:rowOff>465455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4B63529-62C7-4714-886F-E7E739D5D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2736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22</xdr:row>
      <xdr:rowOff>47625</xdr:rowOff>
    </xdr:from>
    <xdr:to>
      <xdr:col>0</xdr:col>
      <xdr:colOff>866775</xdr:colOff>
      <xdr:row>22</xdr:row>
      <xdr:rowOff>465455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F8E55B3-DED3-4A95-994B-EFCCE6922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7842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23</xdr:row>
      <xdr:rowOff>47625</xdr:rowOff>
    </xdr:from>
    <xdr:to>
      <xdr:col>0</xdr:col>
      <xdr:colOff>866775</xdr:colOff>
      <xdr:row>23</xdr:row>
      <xdr:rowOff>465455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B10E163-C4D5-4165-BEA0-FFED73DC0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2947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24</xdr:row>
      <xdr:rowOff>47625</xdr:rowOff>
    </xdr:from>
    <xdr:to>
      <xdr:col>0</xdr:col>
      <xdr:colOff>866775</xdr:colOff>
      <xdr:row>24</xdr:row>
      <xdr:rowOff>465455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DC4A6F0-B0CF-4A2B-947C-122015035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8052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25</xdr:row>
      <xdr:rowOff>47625</xdr:rowOff>
    </xdr:from>
    <xdr:to>
      <xdr:col>0</xdr:col>
      <xdr:colOff>866775</xdr:colOff>
      <xdr:row>25</xdr:row>
      <xdr:rowOff>465455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3894C69-7AD2-499F-B3F0-37A4369E1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3158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26</xdr:row>
      <xdr:rowOff>47625</xdr:rowOff>
    </xdr:from>
    <xdr:to>
      <xdr:col>0</xdr:col>
      <xdr:colOff>866775</xdr:colOff>
      <xdr:row>26</xdr:row>
      <xdr:rowOff>465455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0970D82-00A6-4BD6-AD26-A83E59F88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8263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27</xdr:row>
      <xdr:rowOff>47625</xdr:rowOff>
    </xdr:from>
    <xdr:to>
      <xdr:col>0</xdr:col>
      <xdr:colOff>866775</xdr:colOff>
      <xdr:row>27</xdr:row>
      <xdr:rowOff>465455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16FF4AA-6975-4F44-B7E4-BA2AFBF28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3369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28</xdr:row>
      <xdr:rowOff>47625</xdr:rowOff>
    </xdr:from>
    <xdr:to>
      <xdr:col>0</xdr:col>
      <xdr:colOff>866775</xdr:colOff>
      <xdr:row>28</xdr:row>
      <xdr:rowOff>465455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2AD2A95-F30D-4243-85AA-CD42BB729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8474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29</xdr:row>
      <xdr:rowOff>47625</xdr:rowOff>
    </xdr:from>
    <xdr:to>
      <xdr:col>0</xdr:col>
      <xdr:colOff>866775</xdr:colOff>
      <xdr:row>29</xdr:row>
      <xdr:rowOff>465455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A6B1172-20C6-499E-B74A-780AC5728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3579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30</xdr:row>
      <xdr:rowOff>47625</xdr:rowOff>
    </xdr:from>
    <xdr:to>
      <xdr:col>0</xdr:col>
      <xdr:colOff>866775</xdr:colOff>
      <xdr:row>30</xdr:row>
      <xdr:rowOff>465455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4F03837-F458-425F-BE2D-A66BA27DF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8685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31</xdr:row>
      <xdr:rowOff>47625</xdr:rowOff>
    </xdr:from>
    <xdr:to>
      <xdr:col>0</xdr:col>
      <xdr:colOff>866775</xdr:colOff>
      <xdr:row>31</xdr:row>
      <xdr:rowOff>465455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A7E091F-BBD9-40BB-A0AC-DAEFEF80B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790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32</xdr:row>
      <xdr:rowOff>47625</xdr:rowOff>
    </xdr:from>
    <xdr:to>
      <xdr:col>0</xdr:col>
      <xdr:colOff>866775</xdr:colOff>
      <xdr:row>32</xdr:row>
      <xdr:rowOff>465455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40F5EB9-7092-4CA5-97D8-840AB919D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8896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33</xdr:row>
      <xdr:rowOff>47625</xdr:rowOff>
    </xdr:from>
    <xdr:to>
      <xdr:col>0</xdr:col>
      <xdr:colOff>866775</xdr:colOff>
      <xdr:row>33</xdr:row>
      <xdr:rowOff>465455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AACF3A7-DA6E-4064-B599-C271228DD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4001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34</xdr:row>
      <xdr:rowOff>47625</xdr:rowOff>
    </xdr:from>
    <xdr:to>
      <xdr:col>0</xdr:col>
      <xdr:colOff>866775</xdr:colOff>
      <xdr:row>34</xdr:row>
      <xdr:rowOff>465455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FFBC957-8221-48AA-8A44-06B468360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9106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35</xdr:row>
      <xdr:rowOff>47625</xdr:rowOff>
    </xdr:from>
    <xdr:to>
      <xdr:col>0</xdr:col>
      <xdr:colOff>866775</xdr:colOff>
      <xdr:row>35</xdr:row>
      <xdr:rowOff>465455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5F9B97E-E477-4C97-AF16-D5192B305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4212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36</xdr:row>
      <xdr:rowOff>47625</xdr:rowOff>
    </xdr:from>
    <xdr:to>
      <xdr:col>0</xdr:col>
      <xdr:colOff>866775</xdr:colOff>
      <xdr:row>36</xdr:row>
      <xdr:rowOff>465455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8A404E73-BA2F-4C00-BB25-B26A7FC1C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9317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37</xdr:row>
      <xdr:rowOff>47625</xdr:rowOff>
    </xdr:from>
    <xdr:to>
      <xdr:col>0</xdr:col>
      <xdr:colOff>866775</xdr:colOff>
      <xdr:row>37</xdr:row>
      <xdr:rowOff>465455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3D16C9D-DB00-452D-9C05-AE9827543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4423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38</xdr:row>
      <xdr:rowOff>47625</xdr:rowOff>
    </xdr:from>
    <xdr:to>
      <xdr:col>0</xdr:col>
      <xdr:colOff>866775</xdr:colOff>
      <xdr:row>38</xdr:row>
      <xdr:rowOff>465455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368BD83-9508-4D2F-A5B5-767FFB950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9528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39</xdr:row>
      <xdr:rowOff>47625</xdr:rowOff>
    </xdr:from>
    <xdr:to>
      <xdr:col>0</xdr:col>
      <xdr:colOff>866775</xdr:colOff>
      <xdr:row>39</xdr:row>
      <xdr:rowOff>465455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467D26A-CC8E-4AFE-B7BE-39EFC4664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4633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40</xdr:row>
      <xdr:rowOff>47625</xdr:rowOff>
    </xdr:from>
    <xdr:to>
      <xdr:col>0</xdr:col>
      <xdr:colOff>866775</xdr:colOff>
      <xdr:row>40</xdr:row>
      <xdr:rowOff>465455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768FF04F-B420-46E5-88EA-9E68A111A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9739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41</xdr:row>
      <xdr:rowOff>47625</xdr:rowOff>
    </xdr:from>
    <xdr:to>
      <xdr:col>0</xdr:col>
      <xdr:colOff>866775</xdr:colOff>
      <xdr:row>41</xdr:row>
      <xdr:rowOff>465455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79282093-1E11-4536-B509-0662E66AC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4844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42</xdr:row>
      <xdr:rowOff>47625</xdr:rowOff>
    </xdr:from>
    <xdr:to>
      <xdr:col>0</xdr:col>
      <xdr:colOff>866775</xdr:colOff>
      <xdr:row>42</xdr:row>
      <xdr:rowOff>465455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D9BF6A25-4656-4F40-A81C-09FB76F97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9950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43</xdr:row>
      <xdr:rowOff>47625</xdr:rowOff>
    </xdr:from>
    <xdr:to>
      <xdr:col>0</xdr:col>
      <xdr:colOff>866775</xdr:colOff>
      <xdr:row>43</xdr:row>
      <xdr:rowOff>465455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2A25556B-E576-4254-B913-6DD7BC30A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15055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44</xdr:row>
      <xdr:rowOff>47625</xdr:rowOff>
    </xdr:from>
    <xdr:to>
      <xdr:col>0</xdr:col>
      <xdr:colOff>866775</xdr:colOff>
      <xdr:row>44</xdr:row>
      <xdr:rowOff>465455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D42572A5-B8C8-498E-99EA-29A78B2B6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20160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45</xdr:row>
      <xdr:rowOff>47625</xdr:rowOff>
    </xdr:from>
    <xdr:to>
      <xdr:col>0</xdr:col>
      <xdr:colOff>866775</xdr:colOff>
      <xdr:row>45</xdr:row>
      <xdr:rowOff>465455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010EF95-081E-495C-9312-A27694F07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25266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46</xdr:row>
      <xdr:rowOff>47625</xdr:rowOff>
    </xdr:from>
    <xdr:to>
      <xdr:col>0</xdr:col>
      <xdr:colOff>866775</xdr:colOff>
      <xdr:row>46</xdr:row>
      <xdr:rowOff>465455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75631F7B-EC5F-4F72-A21C-339F23048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30371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47</xdr:row>
      <xdr:rowOff>47625</xdr:rowOff>
    </xdr:from>
    <xdr:to>
      <xdr:col>0</xdr:col>
      <xdr:colOff>866775</xdr:colOff>
      <xdr:row>47</xdr:row>
      <xdr:rowOff>465455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FB76A6F7-8C70-41FC-BF2C-0AA0F29BC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35477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48</xdr:row>
      <xdr:rowOff>47625</xdr:rowOff>
    </xdr:from>
    <xdr:to>
      <xdr:col>0</xdr:col>
      <xdr:colOff>866775</xdr:colOff>
      <xdr:row>48</xdr:row>
      <xdr:rowOff>465455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1F555555-0836-4298-AFEF-7A3A85E0F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40582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49</xdr:row>
      <xdr:rowOff>47625</xdr:rowOff>
    </xdr:from>
    <xdr:to>
      <xdr:col>0</xdr:col>
      <xdr:colOff>866775</xdr:colOff>
      <xdr:row>49</xdr:row>
      <xdr:rowOff>465455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9AC3EB91-1D9E-42B8-9B8E-34842B6BD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45687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50</xdr:row>
      <xdr:rowOff>47625</xdr:rowOff>
    </xdr:from>
    <xdr:to>
      <xdr:col>0</xdr:col>
      <xdr:colOff>866775</xdr:colOff>
      <xdr:row>50</xdr:row>
      <xdr:rowOff>465455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414F478F-A03E-4286-8F6C-83BA736E4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50793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51</xdr:row>
      <xdr:rowOff>47625</xdr:rowOff>
    </xdr:from>
    <xdr:to>
      <xdr:col>0</xdr:col>
      <xdr:colOff>866775</xdr:colOff>
      <xdr:row>51</xdr:row>
      <xdr:rowOff>465455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B1E13F8D-FDC8-44E1-95B3-EA902F991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55898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52</xdr:row>
      <xdr:rowOff>47625</xdr:rowOff>
    </xdr:from>
    <xdr:to>
      <xdr:col>0</xdr:col>
      <xdr:colOff>866775</xdr:colOff>
      <xdr:row>52</xdr:row>
      <xdr:rowOff>465455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FFEBB4C9-8DB6-434E-96CA-D8AF5EE4B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61004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53</xdr:row>
      <xdr:rowOff>47625</xdr:rowOff>
    </xdr:from>
    <xdr:to>
      <xdr:col>0</xdr:col>
      <xdr:colOff>866775</xdr:colOff>
      <xdr:row>53</xdr:row>
      <xdr:rowOff>465455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AB3A46E-F1C2-495A-8C12-0AD770270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66109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54</xdr:row>
      <xdr:rowOff>47625</xdr:rowOff>
    </xdr:from>
    <xdr:to>
      <xdr:col>0</xdr:col>
      <xdr:colOff>866775</xdr:colOff>
      <xdr:row>54</xdr:row>
      <xdr:rowOff>465455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1EE64AC2-51C3-4BF2-9423-15CC9C01B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71214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55</xdr:row>
      <xdr:rowOff>47625</xdr:rowOff>
    </xdr:from>
    <xdr:to>
      <xdr:col>0</xdr:col>
      <xdr:colOff>866775</xdr:colOff>
      <xdr:row>55</xdr:row>
      <xdr:rowOff>465455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AEF9EEE9-78A9-4905-8E65-C8AD0E127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76320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56</xdr:row>
      <xdr:rowOff>47625</xdr:rowOff>
    </xdr:from>
    <xdr:to>
      <xdr:col>0</xdr:col>
      <xdr:colOff>866775</xdr:colOff>
      <xdr:row>56</xdr:row>
      <xdr:rowOff>465455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9DB21E8E-A1DF-4681-9331-586BB4110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81425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57</xdr:row>
      <xdr:rowOff>47625</xdr:rowOff>
    </xdr:from>
    <xdr:to>
      <xdr:col>0</xdr:col>
      <xdr:colOff>866775</xdr:colOff>
      <xdr:row>57</xdr:row>
      <xdr:rowOff>465455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1783528-9EAE-4916-95E3-6B0B29A1A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86531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58</xdr:row>
      <xdr:rowOff>47625</xdr:rowOff>
    </xdr:from>
    <xdr:to>
      <xdr:col>0</xdr:col>
      <xdr:colOff>866775</xdr:colOff>
      <xdr:row>58</xdr:row>
      <xdr:rowOff>465455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738D5C58-6BD1-4C04-A702-5D32805E4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91636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59</xdr:row>
      <xdr:rowOff>47625</xdr:rowOff>
    </xdr:from>
    <xdr:to>
      <xdr:col>0</xdr:col>
      <xdr:colOff>866775</xdr:colOff>
      <xdr:row>59</xdr:row>
      <xdr:rowOff>465455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7CB93DF2-B6CC-49B2-96B2-DE8FE062F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96741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60</xdr:row>
      <xdr:rowOff>47625</xdr:rowOff>
    </xdr:from>
    <xdr:to>
      <xdr:col>0</xdr:col>
      <xdr:colOff>866775</xdr:colOff>
      <xdr:row>60</xdr:row>
      <xdr:rowOff>465455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7093063D-21D8-4A37-9D9C-ABA572D03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01847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61</xdr:row>
      <xdr:rowOff>47625</xdr:rowOff>
    </xdr:from>
    <xdr:to>
      <xdr:col>0</xdr:col>
      <xdr:colOff>866775</xdr:colOff>
      <xdr:row>61</xdr:row>
      <xdr:rowOff>465455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EDE58E66-D58B-4A37-9DF9-1D9C7E000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06952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62</xdr:row>
      <xdr:rowOff>47625</xdr:rowOff>
    </xdr:from>
    <xdr:to>
      <xdr:col>0</xdr:col>
      <xdr:colOff>866775</xdr:colOff>
      <xdr:row>62</xdr:row>
      <xdr:rowOff>465455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F353A257-27DC-429E-8851-E0716591E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12058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63</xdr:row>
      <xdr:rowOff>47625</xdr:rowOff>
    </xdr:from>
    <xdr:to>
      <xdr:col>0</xdr:col>
      <xdr:colOff>866775</xdr:colOff>
      <xdr:row>63</xdr:row>
      <xdr:rowOff>465455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91A43484-BFC5-4942-BF30-12730AB12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17163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64</xdr:row>
      <xdr:rowOff>47625</xdr:rowOff>
    </xdr:from>
    <xdr:to>
      <xdr:col>0</xdr:col>
      <xdr:colOff>866775</xdr:colOff>
      <xdr:row>64</xdr:row>
      <xdr:rowOff>465455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D8CDD3D6-D5C2-44BF-A7F2-D4993360B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22268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65</xdr:row>
      <xdr:rowOff>47625</xdr:rowOff>
    </xdr:from>
    <xdr:to>
      <xdr:col>0</xdr:col>
      <xdr:colOff>866775</xdr:colOff>
      <xdr:row>65</xdr:row>
      <xdr:rowOff>465455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6F2D616-AB76-4418-A5C6-3DCB7FAA0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27374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66</xdr:row>
      <xdr:rowOff>47625</xdr:rowOff>
    </xdr:from>
    <xdr:to>
      <xdr:col>0</xdr:col>
      <xdr:colOff>866775</xdr:colOff>
      <xdr:row>66</xdr:row>
      <xdr:rowOff>465455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66754FB9-249C-49C1-95E9-404B85F0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32479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67</xdr:row>
      <xdr:rowOff>47625</xdr:rowOff>
    </xdr:from>
    <xdr:to>
      <xdr:col>0</xdr:col>
      <xdr:colOff>866775</xdr:colOff>
      <xdr:row>67</xdr:row>
      <xdr:rowOff>465455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697C2A68-553F-4208-8804-1869CEBD2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37585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68</xdr:row>
      <xdr:rowOff>47625</xdr:rowOff>
    </xdr:from>
    <xdr:to>
      <xdr:col>0</xdr:col>
      <xdr:colOff>866775</xdr:colOff>
      <xdr:row>68</xdr:row>
      <xdr:rowOff>465455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A2FD0EEF-16E0-46AE-89FD-7FF44C04A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42690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69</xdr:row>
      <xdr:rowOff>47625</xdr:rowOff>
    </xdr:from>
    <xdr:to>
      <xdr:col>0</xdr:col>
      <xdr:colOff>866775</xdr:colOff>
      <xdr:row>69</xdr:row>
      <xdr:rowOff>465455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F985794E-2D00-4493-8972-61C3B8549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47795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70</xdr:row>
      <xdr:rowOff>47625</xdr:rowOff>
    </xdr:from>
    <xdr:to>
      <xdr:col>0</xdr:col>
      <xdr:colOff>866775</xdr:colOff>
      <xdr:row>70</xdr:row>
      <xdr:rowOff>465455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7EF2634-17F0-4E0A-AFCD-D6C8BA041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52901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71</xdr:row>
      <xdr:rowOff>47625</xdr:rowOff>
    </xdr:from>
    <xdr:to>
      <xdr:col>0</xdr:col>
      <xdr:colOff>866775</xdr:colOff>
      <xdr:row>71</xdr:row>
      <xdr:rowOff>465455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98FB3D77-12F9-4019-9668-7514DD654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58006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72</xdr:row>
      <xdr:rowOff>47625</xdr:rowOff>
    </xdr:from>
    <xdr:to>
      <xdr:col>0</xdr:col>
      <xdr:colOff>866775</xdr:colOff>
      <xdr:row>72</xdr:row>
      <xdr:rowOff>465455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5311E925-6D6B-46FA-B3DA-189179C5E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63112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73</xdr:row>
      <xdr:rowOff>47625</xdr:rowOff>
    </xdr:from>
    <xdr:to>
      <xdr:col>0</xdr:col>
      <xdr:colOff>866775</xdr:colOff>
      <xdr:row>73</xdr:row>
      <xdr:rowOff>465455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3B98EC19-05E7-4CC7-8275-35F324C22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68217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74</xdr:row>
      <xdr:rowOff>47625</xdr:rowOff>
    </xdr:from>
    <xdr:to>
      <xdr:col>0</xdr:col>
      <xdr:colOff>866775</xdr:colOff>
      <xdr:row>74</xdr:row>
      <xdr:rowOff>465455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885583E2-BABA-41BE-968C-101359AB9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73322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75</xdr:row>
      <xdr:rowOff>47625</xdr:rowOff>
    </xdr:from>
    <xdr:to>
      <xdr:col>0</xdr:col>
      <xdr:colOff>866775</xdr:colOff>
      <xdr:row>75</xdr:row>
      <xdr:rowOff>465455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8CAAD8B6-51A2-4496-B31A-9B67C7819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78428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76</xdr:row>
      <xdr:rowOff>47625</xdr:rowOff>
    </xdr:from>
    <xdr:to>
      <xdr:col>0</xdr:col>
      <xdr:colOff>866775</xdr:colOff>
      <xdr:row>76</xdr:row>
      <xdr:rowOff>465455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43222244-DAEF-4B86-8886-4CEAA674B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83533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77</xdr:row>
      <xdr:rowOff>47625</xdr:rowOff>
    </xdr:from>
    <xdr:to>
      <xdr:col>0</xdr:col>
      <xdr:colOff>866775</xdr:colOff>
      <xdr:row>77</xdr:row>
      <xdr:rowOff>465455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777E3B45-11A4-4B45-9D30-81408A7BF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88639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78</xdr:row>
      <xdr:rowOff>47625</xdr:rowOff>
    </xdr:from>
    <xdr:to>
      <xdr:col>0</xdr:col>
      <xdr:colOff>866775</xdr:colOff>
      <xdr:row>78</xdr:row>
      <xdr:rowOff>465455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BBD9CC0D-AB90-4DEB-B60A-CDE7F43C2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93744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79</xdr:row>
      <xdr:rowOff>47625</xdr:rowOff>
    </xdr:from>
    <xdr:to>
      <xdr:col>0</xdr:col>
      <xdr:colOff>866775</xdr:colOff>
      <xdr:row>79</xdr:row>
      <xdr:rowOff>465455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9EAF75E9-85F3-4412-8F04-D3D990627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98849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80</xdr:row>
      <xdr:rowOff>47625</xdr:rowOff>
    </xdr:from>
    <xdr:to>
      <xdr:col>0</xdr:col>
      <xdr:colOff>866775</xdr:colOff>
      <xdr:row>80</xdr:row>
      <xdr:rowOff>465455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BD6E3590-D587-4D30-9C35-79621B4CB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03955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81</xdr:row>
      <xdr:rowOff>47625</xdr:rowOff>
    </xdr:from>
    <xdr:to>
      <xdr:col>0</xdr:col>
      <xdr:colOff>866775</xdr:colOff>
      <xdr:row>81</xdr:row>
      <xdr:rowOff>465455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5EC7BAA6-C20C-46A1-B0DC-EC339B616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09060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82</xdr:row>
      <xdr:rowOff>47625</xdr:rowOff>
    </xdr:from>
    <xdr:to>
      <xdr:col>0</xdr:col>
      <xdr:colOff>866775</xdr:colOff>
      <xdr:row>82</xdr:row>
      <xdr:rowOff>465455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3A281C0-EB3F-4EB6-B6A7-4A6F5E448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14166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83</xdr:row>
      <xdr:rowOff>47625</xdr:rowOff>
    </xdr:from>
    <xdr:to>
      <xdr:col>0</xdr:col>
      <xdr:colOff>866775</xdr:colOff>
      <xdr:row>83</xdr:row>
      <xdr:rowOff>465455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F54D81D-6D20-48A7-8A60-D181ED2BD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19271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84</xdr:row>
      <xdr:rowOff>47625</xdr:rowOff>
    </xdr:from>
    <xdr:to>
      <xdr:col>0</xdr:col>
      <xdr:colOff>866775</xdr:colOff>
      <xdr:row>84</xdr:row>
      <xdr:rowOff>465455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59C1F1EF-F319-4D07-B288-EE00914CD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24376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85</xdr:row>
      <xdr:rowOff>47625</xdr:rowOff>
    </xdr:from>
    <xdr:to>
      <xdr:col>0</xdr:col>
      <xdr:colOff>866775</xdr:colOff>
      <xdr:row>85</xdr:row>
      <xdr:rowOff>465455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56938192-2814-4913-B30B-19B72E86B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29482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86</xdr:row>
      <xdr:rowOff>47625</xdr:rowOff>
    </xdr:from>
    <xdr:to>
      <xdr:col>0</xdr:col>
      <xdr:colOff>866775</xdr:colOff>
      <xdr:row>86</xdr:row>
      <xdr:rowOff>465455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583F5FF3-5D41-4A69-9773-190E83E16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34587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87</xdr:row>
      <xdr:rowOff>47625</xdr:rowOff>
    </xdr:from>
    <xdr:to>
      <xdr:col>0</xdr:col>
      <xdr:colOff>866775</xdr:colOff>
      <xdr:row>87</xdr:row>
      <xdr:rowOff>465455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D5B04AD0-D566-4283-8225-D270C228D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39693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88</xdr:row>
      <xdr:rowOff>47625</xdr:rowOff>
    </xdr:from>
    <xdr:to>
      <xdr:col>0</xdr:col>
      <xdr:colOff>866775</xdr:colOff>
      <xdr:row>88</xdr:row>
      <xdr:rowOff>465455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A687EA6F-F23D-44D4-B6B6-5AF31A8CC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4479845"/>
          <a:ext cx="666750" cy="4178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47625</xdr:rowOff>
    </xdr:from>
    <xdr:to>
      <xdr:col>0</xdr:col>
      <xdr:colOff>866775</xdr:colOff>
      <xdr:row>2</xdr:row>
      <xdr:rowOff>465455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D33D8B-BCD2-48AD-B5F8-57B0CF7CE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886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</xdr:row>
      <xdr:rowOff>47625</xdr:rowOff>
    </xdr:from>
    <xdr:to>
      <xdr:col>0</xdr:col>
      <xdr:colOff>866775</xdr:colOff>
      <xdr:row>3</xdr:row>
      <xdr:rowOff>465455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DA261B-4AAC-4589-9CE3-F11A72AD9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991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</xdr:row>
      <xdr:rowOff>47625</xdr:rowOff>
    </xdr:from>
    <xdr:to>
      <xdr:col>0</xdr:col>
      <xdr:colOff>866775</xdr:colOff>
      <xdr:row>4</xdr:row>
      <xdr:rowOff>465455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2D7242-5C81-45E5-9F99-EE9A7A56C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097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</xdr:row>
      <xdr:rowOff>47625</xdr:rowOff>
    </xdr:from>
    <xdr:to>
      <xdr:col>0</xdr:col>
      <xdr:colOff>866775</xdr:colOff>
      <xdr:row>5</xdr:row>
      <xdr:rowOff>465455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D56564E-80EC-4944-B671-D3B06846F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1202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</xdr:row>
      <xdr:rowOff>47625</xdr:rowOff>
    </xdr:from>
    <xdr:to>
      <xdr:col>0</xdr:col>
      <xdr:colOff>866775</xdr:colOff>
      <xdr:row>6</xdr:row>
      <xdr:rowOff>465455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D09F41-789B-4D14-B56E-F1A185E3D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6308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</xdr:row>
      <xdr:rowOff>47625</xdr:rowOff>
    </xdr:from>
    <xdr:to>
      <xdr:col>0</xdr:col>
      <xdr:colOff>866775</xdr:colOff>
      <xdr:row>7</xdr:row>
      <xdr:rowOff>465455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8C9DBAB-CFE0-4498-ABBB-3057B58C1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1413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</xdr:row>
      <xdr:rowOff>47625</xdr:rowOff>
    </xdr:from>
    <xdr:to>
      <xdr:col>0</xdr:col>
      <xdr:colOff>866775</xdr:colOff>
      <xdr:row>8</xdr:row>
      <xdr:rowOff>465455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74F7E1C-17AB-4D6A-B0ED-9F206129D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6518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</xdr:row>
      <xdr:rowOff>47625</xdr:rowOff>
    </xdr:from>
    <xdr:to>
      <xdr:col>0</xdr:col>
      <xdr:colOff>866775</xdr:colOff>
      <xdr:row>9</xdr:row>
      <xdr:rowOff>465455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4191CA-D09D-4AB6-97DF-8A29459F6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1624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10</xdr:row>
      <xdr:rowOff>47625</xdr:rowOff>
    </xdr:from>
    <xdr:to>
      <xdr:col>0</xdr:col>
      <xdr:colOff>866775</xdr:colOff>
      <xdr:row>10</xdr:row>
      <xdr:rowOff>465455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B1F0007-0A96-4974-84A5-6ACBA9824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6729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11</xdr:row>
      <xdr:rowOff>47625</xdr:rowOff>
    </xdr:from>
    <xdr:to>
      <xdr:col>0</xdr:col>
      <xdr:colOff>866775</xdr:colOff>
      <xdr:row>11</xdr:row>
      <xdr:rowOff>465455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8CC15DE-F453-411E-977B-12FE138C8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1835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12</xdr:row>
      <xdr:rowOff>47625</xdr:rowOff>
    </xdr:from>
    <xdr:to>
      <xdr:col>0</xdr:col>
      <xdr:colOff>866775</xdr:colOff>
      <xdr:row>12</xdr:row>
      <xdr:rowOff>465455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0A0003A-94E5-4473-AADD-7E4669534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6940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192405</xdr:colOff>
      <xdr:row>13</xdr:row>
      <xdr:rowOff>70485</xdr:rowOff>
    </xdr:from>
    <xdr:to>
      <xdr:col>0</xdr:col>
      <xdr:colOff>859155</xdr:colOff>
      <xdr:row>13</xdr:row>
      <xdr:rowOff>488315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76326D1-6F57-49DE-84CC-B99BD8BAD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" y="16325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14</xdr:row>
      <xdr:rowOff>47625</xdr:rowOff>
    </xdr:from>
    <xdr:to>
      <xdr:col>0</xdr:col>
      <xdr:colOff>866775</xdr:colOff>
      <xdr:row>14</xdr:row>
      <xdr:rowOff>465455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2728E77-8DF5-41F7-A89E-23F8C82C7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7151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15</xdr:row>
      <xdr:rowOff>47624</xdr:rowOff>
    </xdr:from>
    <xdr:to>
      <xdr:col>0</xdr:col>
      <xdr:colOff>890081</xdr:colOff>
      <xdr:row>15</xdr:row>
      <xdr:rowOff>480059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EEAE5B6-9AB3-45DB-9339-44EA24790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630804"/>
          <a:ext cx="690056" cy="432435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16</xdr:row>
      <xdr:rowOff>47625</xdr:rowOff>
    </xdr:from>
    <xdr:to>
      <xdr:col>0</xdr:col>
      <xdr:colOff>866775</xdr:colOff>
      <xdr:row>16</xdr:row>
      <xdr:rowOff>465455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E60F947-DFD6-4DF1-B33E-A3154EC79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7362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17</xdr:row>
      <xdr:rowOff>47625</xdr:rowOff>
    </xdr:from>
    <xdr:to>
      <xdr:col>0</xdr:col>
      <xdr:colOff>866775</xdr:colOff>
      <xdr:row>17</xdr:row>
      <xdr:rowOff>465455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AC686AA-4FEA-4844-9E62-1712F9443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2467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18</xdr:row>
      <xdr:rowOff>47625</xdr:rowOff>
    </xdr:from>
    <xdr:to>
      <xdr:col>0</xdr:col>
      <xdr:colOff>866775</xdr:colOff>
      <xdr:row>18</xdr:row>
      <xdr:rowOff>465455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95CDFDE-AC8B-485A-97E9-2AFA07ACA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7572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19</xdr:row>
      <xdr:rowOff>47625</xdr:rowOff>
    </xdr:from>
    <xdr:to>
      <xdr:col>0</xdr:col>
      <xdr:colOff>866775</xdr:colOff>
      <xdr:row>19</xdr:row>
      <xdr:rowOff>465455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7101813-9E8C-47A8-9DC6-205922BE3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2678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20</xdr:row>
      <xdr:rowOff>47625</xdr:rowOff>
    </xdr:from>
    <xdr:to>
      <xdr:col>0</xdr:col>
      <xdr:colOff>866775</xdr:colOff>
      <xdr:row>20</xdr:row>
      <xdr:rowOff>465455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3E45982-9F97-4DF2-9193-297C7543C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7783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21</xdr:row>
      <xdr:rowOff>47625</xdr:rowOff>
    </xdr:from>
    <xdr:to>
      <xdr:col>0</xdr:col>
      <xdr:colOff>866775</xdr:colOff>
      <xdr:row>21</xdr:row>
      <xdr:rowOff>465455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6572300-41C7-4BF7-837B-D1B3440CA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2889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22</xdr:row>
      <xdr:rowOff>47625</xdr:rowOff>
    </xdr:from>
    <xdr:to>
      <xdr:col>0</xdr:col>
      <xdr:colOff>866775</xdr:colOff>
      <xdr:row>22</xdr:row>
      <xdr:rowOff>465455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3E3B709-DF25-40E4-9326-3356790C6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7994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23</xdr:row>
      <xdr:rowOff>47625</xdr:rowOff>
    </xdr:from>
    <xdr:to>
      <xdr:col>0</xdr:col>
      <xdr:colOff>866775</xdr:colOff>
      <xdr:row>23</xdr:row>
      <xdr:rowOff>465455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5AF9195-052B-4453-92E1-0A1ED237B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3099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24</xdr:row>
      <xdr:rowOff>47625</xdr:rowOff>
    </xdr:from>
    <xdr:to>
      <xdr:col>0</xdr:col>
      <xdr:colOff>866775</xdr:colOff>
      <xdr:row>24</xdr:row>
      <xdr:rowOff>465455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54851B1-3077-4A25-9666-3958DD3A9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8205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25</xdr:row>
      <xdr:rowOff>47625</xdr:rowOff>
    </xdr:from>
    <xdr:to>
      <xdr:col>0</xdr:col>
      <xdr:colOff>866775</xdr:colOff>
      <xdr:row>25</xdr:row>
      <xdr:rowOff>465455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213FE22-1D33-4A65-9A55-AF07DDD75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3310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26</xdr:row>
      <xdr:rowOff>47625</xdr:rowOff>
    </xdr:from>
    <xdr:to>
      <xdr:col>0</xdr:col>
      <xdr:colOff>866775</xdr:colOff>
      <xdr:row>26</xdr:row>
      <xdr:rowOff>465455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74AE3A2-AC37-4F71-83B0-8FD2C7E65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8416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27</xdr:row>
      <xdr:rowOff>47625</xdr:rowOff>
    </xdr:from>
    <xdr:to>
      <xdr:col>0</xdr:col>
      <xdr:colOff>866775</xdr:colOff>
      <xdr:row>27</xdr:row>
      <xdr:rowOff>465455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6B46BCF-86B7-4C96-99C1-5464251A0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3521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28</xdr:row>
      <xdr:rowOff>47625</xdr:rowOff>
    </xdr:from>
    <xdr:to>
      <xdr:col>0</xdr:col>
      <xdr:colOff>866775</xdr:colOff>
      <xdr:row>28</xdr:row>
      <xdr:rowOff>465455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555BA9B-9629-4FA5-A259-FA325D13B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8626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29</xdr:row>
      <xdr:rowOff>47625</xdr:rowOff>
    </xdr:from>
    <xdr:to>
      <xdr:col>0</xdr:col>
      <xdr:colOff>866775</xdr:colOff>
      <xdr:row>29</xdr:row>
      <xdr:rowOff>465455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E519333-5118-4BFD-A4D2-E18035204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3732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30</xdr:row>
      <xdr:rowOff>47625</xdr:rowOff>
    </xdr:from>
    <xdr:to>
      <xdr:col>0</xdr:col>
      <xdr:colOff>866775</xdr:colOff>
      <xdr:row>30</xdr:row>
      <xdr:rowOff>465455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60745C9-6CEC-403C-A5FA-B7680572D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8837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31</xdr:row>
      <xdr:rowOff>47625</xdr:rowOff>
    </xdr:from>
    <xdr:to>
      <xdr:col>0</xdr:col>
      <xdr:colOff>866775</xdr:colOff>
      <xdr:row>31</xdr:row>
      <xdr:rowOff>465455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3AEA2A7-F9A6-4A98-A777-83CB2A1DB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943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32</xdr:row>
      <xdr:rowOff>47625</xdr:rowOff>
    </xdr:from>
    <xdr:to>
      <xdr:col>0</xdr:col>
      <xdr:colOff>866775</xdr:colOff>
      <xdr:row>32</xdr:row>
      <xdr:rowOff>465455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DFFF27C-5423-441C-8633-93F7350D1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9048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33</xdr:row>
      <xdr:rowOff>47625</xdr:rowOff>
    </xdr:from>
    <xdr:to>
      <xdr:col>0</xdr:col>
      <xdr:colOff>866775</xdr:colOff>
      <xdr:row>33</xdr:row>
      <xdr:rowOff>465455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817C416-40F3-444F-80DC-0B02851EB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4153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34</xdr:row>
      <xdr:rowOff>47625</xdr:rowOff>
    </xdr:from>
    <xdr:to>
      <xdr:col>0</xdr:col>
      <xdr:colOff>866775</xdr:colOff>
      <xdr:row>34</xdr:row>
      <xdr:rowOff>465455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55E8B771-77D2-44FF-BF55-DED52BAA8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9259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35</xdr:row>
      <xdr:rowOff>47625</xdr:rowOff>
    </xdr:from>
    <xdr:to>
      <xdr:col>0</xdr:col>
      <xdr:colOff>866775</xdr:colOff>
      <xdr:row>35</xdr:row>
      <xdr:rowOff>465455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3C6849B-C529-47E6-8E4D-FA1BB968D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4364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36</xdr:row>
      <xdr:rowOff>47625</xdr:rowOff>
    </xdr:from>
    <xdr:to>
      <xdr:col>0</xdr:col>
      <xdr:colOff>866775</xdr:colOff>
      <xdr:row>36</xdr:row>
      <xdr:rowOff>465455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76C2D5B-BE47-4CBC-9B04-011683E48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9470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37</xdr:row>
      <xdr:rowOff>47625</xdr:rowOff>
    </xdr:from>
    <xdr:to>
      <xdr:col>0</xdr:col>
      <xdr:colOff>866775</xdr:colOff>
      <xdr:row>37</xdr:row>
      <xdr:rowOff>465455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9AB113C-4251-4037-99AA-4B0A98C69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4575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38</xdr:row>
      <xdr:rowOff>47625</xdr:rowOff>
    </xdr:from>
    <xdr:to>
      <xdr:col>0</xdr:col>
      <xdr:colOff>866775</xdr:colOff>
      <xdr:row>38</xdr:row>
      <xdr:rowOff>465455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5A30BDF-239B-45A1-8295-E09BE69F4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9680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39</xdr:row>
      <xdr:rowOff>47625</xdr:rowOff>
    </xdr:from>
    <xdr:to>
      <xdr:col>0</xdr:col>
      <xdr:colOff>866775</xdr:colOff>
      <xdr:row>39</xdr:row>
      <xdr:rowOff>465455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0FC2587-9702-40EA-B327-A40D1EE6E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4786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40</xdr:row>
      <xdr:rowOff>47625</xdr:rowOff>
    </xdr:from>
    <xdr:to>
      <xdr:col>0</xdr:col>
      <xdr:colOff>866775</xdr:colOff>
      <xdr:row>40</xdr:row>
      <xdr:rowOff>465455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4AFC7425-511C-4A68-96EA-9D9F9188E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9891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41</xdr:row>
      <xdr:rowOff>47625</xdr:rowOff>
    </xdr:from>
    <xdr:to>
      <xdr:col>0</xdr:col>
      <xdr:colOff>866775</xdr:colOff>
      <xdr:row>41</xdr:row>
      <xdr:rowOff>465455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718B713-6EF3-48DC-852A-D08C69FED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4997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42</xdr:row>
      <xdr:rowOff>47625</xdr:rowOff>
    </xdr:from>
    <xdr:to>
      <xdr:col>0</xdr:col>
      <xdr:colOff>866775</xdr:colOff>
      <xdr:row>42</xdr:row>
      <xdr:rowOff>465455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5D45DEA0-9857-42C4-AA6C-BB2924702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10102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43</xdr:row>
      <xdr:rowOff>47625</xdr:rowOff>
    </xdr:from>
    <xdr:to>
      <xdr:col>0</xdr:col>
      <xdr:colOff>866775</xdr:colOff>
      <xdr:row>43</xdr:row>
      <xdr:rowOff>465455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ABE79564-6E11-4C82-A97F-53130AE80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15207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44</xdr:row>
      <xdr:rowOff>47625</xdr:rowOff>
    </xdr:from>
    <xdr:to>
      <xdr:col>0</xdr:col>
      <xdr:colOff>866775</xdr:colOff>
      <xdr:row>44</xdr:row>
      <xdr:rowOff>465455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925C27D5-7ADE-42A7-AF85-8CC9BF252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20313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45</xdr:row>
      <xdr:rowOff>47625</xdr:rowOff>
    </xdr:from>
    <xdr:to>
      <xdr:col>0</xdr:col>
      <xdr:colOff>866775</xdr:colOff>
      <xdr:row>45</xdr:row>
      <xdr:rowOff>465455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6957F85-2D1B-46AD-A215-16DA59702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25418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46</xdr:row>
      <xdr:rowOff>47625</xdr:rowOff>
    </xdr:from>
    <xdr:to>
      <xdr:col>0</xdr:col>
      <xdr:colOff>866775</xdr:colOff>
      <xdr:row>46</xdr:row>
      <xdr:rowOff>465455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B10D06ED-E60B-4DE7-8853-3396D5483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30524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47</xdr:row>
      <xdr:rowOff>47625</xdr:rowOff>
    </xdr:from>
    <xdr:to>
      <xdr:col>0</xdr:col>
      <xdr:colOff>866775</xdr:colOff>
      <xdr:row>47</xdr:row>
      <xdr:rowOff>465455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F285A6A-137E-4FDB-BC74-F5B68CA11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35629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48</xdr:row>
      <xdr:rowOff>47625</xdr:rowOff>
    </xdr:from>
    <xdr:to>
      <xdr:col>0</xdr:col>
      <xdr:colOff>866775</xdr:colOff>
      <xdr:row>48</xdr:row>
      <xdr:rowOff>465455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6E7F9379-20D1-44AC-860C-79917DCFF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40734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49</xdr:row>
      <xdr:rowOff>47625</xdr:rowOff>
    </xdr:from>
    <xdr:to>
      <xdr:col>0</xdr:col>
      <xdr:colOff>866775</xdr:colOff>
      <xdr:row>49</xdr:row>
      <xdr:rowOff>465455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88478C76-6B42-45ED-AFCA-78BAA05EA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45840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50</xdr:row>
      <xdr:rowOff>47625</xdr:rowOff>
    </xdr:from>
    <xdr:to>
      <xdr:col>0</xdr:col>
      <xdr:colOff>866775</xdr:colOff>
      <xdr:row>50</xdr:row>
      <xdr:rowOff>465455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59254E53-7ACB-488D-8D71-D2761238F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50945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51</xdr:row>
      <xdr:rowOff>47625</xdr:rowOff>
    </xdr:from>
    <xdr:to>
      <xdr:col>0</xdr:col>
      <xdr:colOff>866775</xdr:colOff>
      <xdr:row>51</xdr:row>
      <xdr:rowOff>465455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3AE6CCF5-6EB5-4679-A096-C3FE5423C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56051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52</xdr:row>
      <xdr:rowOff>47625</xdr:rowOff>
    </xdr:from>
    <xdr:to>
      <xdr:col>0</xdr:col>
      <xdr:colOff>866775</xdr:colOff>
      <xdr:row>52</xdr:row>
      <xdr:rowOff>465455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73A9E8D6-F887-48B3-8F6E-DC9673AF2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61156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53</xdr:row>
      <xdr:rowOff>47625</xdr:rowOff>
    </xdr:from>
    <xdr:to>
      <xdr:col>0</xdr:col>
      <xdr:colOff>866775</xdr:colOff>
      <xdr:row>53</xdr:row>
      <xdr:rowOff>465455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DCC3504A-31DF-4DF0-846B-09B748EA7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66261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54</xdr:row>
      <xdr:rowOff>47625</xdr:rowOff>
    </xdr:from>
    <xdr:to>
      <xdr:col>0</xdr:col>
      <xdr:colOff>866775</xdr:colOff>
      <xdr:row>54</xdr:row>
      <xdr:rowOff>465455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42945732-B6B7-4EF7-A47F-E4E4F9AD6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71367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55</xdr:row>
      <xdr:rowOff>47625</xdr:rowOff>
    </xdr:from>
    <xdr:to>
      <xdr:col>0</xdr:col>
      <xdr:colOff>866775</xdr:colOff>
      <xdr:row>55</xdr:row>
      <xdr:rowOff>465455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897FCEB-5E48-457F-9A2D-F98C54FC2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76472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56</xdr:row>
      <xdr:rowOff>47625</xdr:rowOff>
    </xdr:from>
    <xdr:to>
      <xdr:col>0</xdr:col>
      <xdr:colOff>866775</xdr:colOff>
      <xdr:row>56</xdr:row>
      <xdr:rowOff>465455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8FE12D79-E696-44BC-918E-8927405D6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81578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57</xdr:row>
      <xdr:rowOff>47625</xdr:rowOff>
    </xdr:from>
    <xdr:to>
      <xdr:col>0</xdr:col>
      <xdr:colOff>866775</xdr:colOff>
      <xdr:row>57</xdr:row>
      <xdr:rowOff>465455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D6E24749-279A-4200-B0C1-9FEA2A264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86683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58</xdr:row>
      <xdr:rowOff>47625</xdr:rowOff>
    </xdr:from>
    <xdr:to>
      <xdr:col>0</xdr:col>
      <xdr:colOff>866775</xdr:colOff>
      <xdr:row>58</xdr:row>
      <xdr:rowOff>465455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35F727AD-7975-4EDB-8659-3E0766F4D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91788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59</xdr:row>
      <xdr:rowOff>47625</xdr:rowOff>
    </xdr:from>
    <xdr:to>
      <xdr:col>0</xdr:col>
      <xdr:colOff>866775</xdr:colOff>
      <xdr:row>59</xdr:row>
      <xdr:rowOff>465455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E1A49D88-4480-46BF-8A5C-601E60FC7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96894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60</xdr:row>
      <xdr:rowOff>47625</xdr:rowOff>
    </xdr:from>
    <xdr:to>
      <xdr:col>0</xdr:col>
      <xdr:colOff>866775</xdr:colOff>
      <xdr:row>60</xdr:row>
      <xdr:rowOff>465455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87D2F52-4E6D-4945-B180-2B080F761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01999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61</xdr:row>
      <xdr:rowOff>47625</xdr:rowOff>
    </xdr:from>
    <xdr:to>
      <xdr:col>0</xdr:col>
      <xdr:colOff>866775</xdr:colOff>
      <xdr:row>61</xdr:row>
      <xdr:rowOff>465455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DBF879B-0078-443E-A1B2-D6B7D176D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07105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62</xdr:row>
      <xdr:rowOff>47625</xdr:rowOff>
    </xdr:from>
    <xdr:to>
      <xdr:col>0</xdr:col>
      <xdr:colOff>866775</xdr:colOff>
      <xdr:row>62</xdr:row>
      <xdr:rowOff>465455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823549D7-25BB-44B7-A975-066BCD845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12210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63</xdr:row>
      <xdr:rowOff>47625</xdr:rowOff>
    </xdr:from>
    <xdr:to>
      <xdr:col>0</xdr:col>
      <xdr:colOff>866775</xdr:colOff>
      <xdr:row>63</xdr:row>
      <xdr:rowOff>465455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5DBCFFF4-5F07-495C-8F6A-459EF10FD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17315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64</xdr:row>
      <xdr:rowOff>47625</xdr:rowOff>
    </xdr:from>
    <xdr:to>
      <xdr:col>0</xdr:col>
      <xdr:colOff>866775</xdr:colOff>
      <xdr:row>64</xdr:row>
      <xdr:rowOff>465455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64FDA347-A9D5-4EDD-A1CB-7D70077B2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2242125"/>
          <a:ext cx="666750" cy="41783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2486372</xdr:colOff>
      <xdr:row>94</xdr:row>
      <xdr:rowOff>141398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1BF4D8B8-B956-43A8-9EAB-553AC1561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7033260" y="35082480"/>
          <a:ext cx="2486372" cy="30674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47625</xdr:rowOff>
    </xdr:from>
    <xdr:to>
      <xdr:col>0</xdr:col>
      <xdr:colOff>866775</xdr:colOff>
      <xdr:row>2</xdr:row>
      <xdr:rowOff>465455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F74784-5607-4FD3-A006-CEA3FBC40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886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</xdr:row>
      <xdr:rowOff>47625</xdr:rowOff>
    </xdr:from>
    <xdr:to>
      <xdr:col>0</xdr:col>
      <xdr:colOff>866775</xdr:colOff>
      <xdr:row>3</xdr:row>
      <xdr:rowOff>465455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549437-A424-42C9-972E-CEF2B08E0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991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</xdr:row>
      <xdr:rowOff>47625</xdr:rowOff>
    </xdr:from>
    <xdr:to>
      <xdr:col>0</xdr:col>
      <xdr:colOff>866775</xdr:colOff>
      <xdr:row>4</xdr:row>
      <xdr:rowOff>465455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D35AE2-E85D-4622-93B3-89144A326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097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</xdr:row>
      <xdr:rowOff>47625</xdr:rowOff>
    </xdr:from>
    <xdr:to>
      <xdr:col>0</xdr:col>
      <xdr:colOff>866775</xdr:colOff>
      <xdr:row>5</xdr:row>
      <xdr:rowOff>465455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F35AEC-30E3-47D7-A85C-52EA5F4C9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1202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</xdr:row>
      <xdr:rowOff>47625</xdr:rowOff>
    </xdr:from>
    <xdr:to>
      <xdr:col>0</xdr:col>
      <xdr:colOff>866775</xdr:colOff>
      <xdr:row>6</xdr:row>
      <xdr:rowOff>465455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C71D59-B2E9-40C1-8D41-7BAD20874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6308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</xdr:row>
      <xdr:rowOff>47625</xdr:rowOff>
    </xdr:from>
    <xdr:to>
      <xdr:col>0</xdr:col>
      <xdr:colOff>866775</xdr:colOff>
      <xdr:row>7</xdr:row>
      <xdr:rowOff>465455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B23C57-3956-4A72-8B6E-0EC071BE2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1413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</xdr:row>
      <xdr:rowOff>47625</xdr:rowOff>
    </xdr:from>
    <xdr:to>
      <xdr:col>0</xdr:col>
      <xdr:colOff>866775</xdr:colOff>
      <xdr:row>8</xdr:row>
      <xdr:rowOff>465455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D39AAA7-39D8-40A1-A24F-9EE71186A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6518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</xdr:row>
      <xdr:rowOff>47625</xdr:rowOff>
    </xdr:from>
    <xdr:to>
      <xdr:col>0</xdr:col>
      <xdr:colOff>866775</xdr:colOff>
      <xdr:row>9</xdr:row>
      <xdr:rowOff>465455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A6B435D-42A5-4C73-BB82-7B5A09669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1624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10</xdr:row>
      <xdr:rowOff>47625</xdr:rowOff>
    </xdr:from>
    <xdr:to>
      <xdr:col>0</xdr:col>
      <xdr:colOff>866775</xdr:colOff>
      <xdr:row>10</xdr:row>
      <xdr:rowOff>465455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3DCCDF-FBD9-42AC-99E1-BDD84F923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6729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11</xdr:row>
      <xdr:rowOff>47625</xdr:rowOff>
    </xdr:from>
    <xdr:to>
      <xdr:col>0</xdr:col>
      <xdr:colOff>866775</xdr:colOff>
      <xdr:row>11</xdr:row>
      <xdr:rowOff>465455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691EE6D-CBFC-464D-B06B-75A195DED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1835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12</xdr:row>
      <xdr:rowOff>47625</xdr:rowOff>
    </xdr:from>
    <xdr:to>
      <xdr:col>0</xdr:col>
      <xdr:colOff>866775</xdr:colOff>
      <xdr:row>12</xdr:row>
      <xdr:rowOff>465455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F57C673-29B8-48AD-B5D0-AA562C966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6940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13</xdr:row>
      <xdr:rowOff>47625</xdr:rowOff>
    </xdr:from>
    <xdr:to>
      <xdr:col>0</xdr:col>
      <xdr:colOff>866775</xdr:colOff>
      <xdr:row>13</xdr:row>
      <xdr:rowOff>465455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32A8247-4228-4E31-AD40-D6BC76722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2045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14</xdr:row>
      <xdr:rowOff>47625</xdr:rowOff>
    </xdr:from>
    <xdr:to>
      <xdr:col>0</xdr:col>
      <xdr:colOff>866775</xdr:colOff>
      <xdr:row>14</xdr:row>
      <xdr:rowOff>465455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3A2604E-3587-420B-8D08-52EAAB5E2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7151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15</xdr:row>
      <xdr:rowOff>47625</xdr:rowOff>
    </xdr:from>
    <xdr:to>
      <xdr:col>0</xdr:col>
      <xdr:colOff>866775</xdr:colOff>
      <xdr:row>15</xdr:row>
      <xdr:rowOff>465455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FE409A1-94CF-4B59-85F8-0A231615A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2256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16</xdr:row>
      <xdr:rowOff>47625</xdr:rowOff>
    </xdr:from>
    <xdr:to>
      <xdr:col>0</xdr:col>
      <xdr:colOff>866775</xdr:colOff>
      <xdr:row>16</xdr:row>
      <xdr:rowOff>465455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4A2EE18-95FA-41AA-A618-94AFAA118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7362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17</xdr:row>
      <xdr:rowOff>47625</xdr:rowOff>
    </xdr:from>
    <xdr:to>
      <xdr:col>0</xdr:col>
      <xdr:colOff>866775</xdr:colOff>
      <xdr:row>17</xdr:row>
      <xdr:rowOff>465455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5CBC4D2-4529-478C-B0DE-453B45F61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2467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18</xdr:row>
      <xdr:rowOff>47625</xdr:rowOff>
    </xdr:from>
    <xdr:to>
      <xdr:col>0</xdr:col>
      <xdr:colOff>866775</xdr:colOff>
      <xdr:row>18</xdr:row>
      <xdr:rowOff>465455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3D66FCA-3F8A-4710-8579-036F39700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7572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19</xdr:row>
      <xdr:rowOff>47625</xdr:rowOff>
    </xdr:from>
    <xdr:to>
      <xdr:col>0</xdr:col>
      <xdr:colOff>866775</xdr:colOff>
      <xdr:row>19</xdr:row>
      <xdr:rowOff>465455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BEFA0E1-16BA-48A8-9775-DE9ECDC0A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2678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20</xdr:row>
      <xdr:rowOff>47625</xdr:rowOff>
    </xdr:from>
    <xdr:to>
      <xdr:col>0</xdr:col>
      <xdr:colOff>866775</xdr:colOff>
      <xdr:row>20</xdr:row>
      <xdr:rowOff>465455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2B84742-ECBA-4833-82D9-6BE9E763E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7783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21</xdr:row>
      <xdr:rowOff>47625</xdr:rowOff>
    </xdr:from>
    <xdr:to>
      <xdr:col>0</xdr:col>
      <xdr:colOff>866775</xdr:colOff>
      <xdr:row>21</xdr:row>
      <xdr:rowOff>465455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3054C6C-1605-4048-9A4E-BC9684CB0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2889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22</xdr:row>
      <xdr:rowOff>47625</xdr:rowOff>
    </xdr:from>
    <xdr:to>
      <xdr:col>0</xdr:col>
      <xdr:colOff>866775</xdr:colOff>
      <xdr:row>22</xdr:row>
      <xdr:rowOff>465455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C83AC2C-C936-4FF0-8712-5A3BB2241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7994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23</xdr:row>
      <xdr:rowOff>47625</xdr:rowOff>
    </xdr:from>
    <xdr:to>
      <xdr:col>0</xdr:col>
      <xdr:colOff>866775</xdr:colOff>
      <xdr:row>23</xdr:row>
      <xdr:rowOff>465455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D7C520D-B0EA-4C94-8698-85CE71FD6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3099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24</xdr:row>
      <xdr:rowOff>47625</xdr:rowOff>
    </xdr:from>
    <xdr:to>
      <xdr:col>0</xdr:col>
      <xdr:colOff>866775</xdr:colOff>
      <xdr:row>24</xdr:row>
      <xdr:rowOff>465455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7885740-2E21-4EA8-A8BC-97CD0E9E5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8205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25</xdr:row>
      <xdr:rowOff>47625</xdr:rowOff>
    </xdr:from>
    <xdr:to>
      <xdr:col>0</xdr:col>
      <xdr:colOff>866775</xdr:colOff>
      <xdr:row>25</xdr:row>
      <xdr:rowOff>465455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88507A0-104E-4EFA-ADBB-E0C601F38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3310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26</xdr:row>
      <xdr:rowOff>47625</xdr:rowOff>
    </xdr:from>
    <xdr:to>
      <xdr:col>0</xdr:col>
      <xdr:colOff>866775</xdr:colOff>
      <xdr:row>26</xdr:row>
      <xdr:rowOff>465455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FC15320-7231-443C-B4AF-6E8E607A2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8416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27</xdr:row>
      <xdr:rowOff>47625</xdr:rowOff>
    </xdr:from>
    <xdr:to>
      <xdr:col>0</xdr:col>
      <xdr:colOff>866775</xdr:colOff>
      <xdr:row>27</xdr:row>
      <xdr:rowOff>465455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E567B02-5FB0-40F7-BADA-E67B7937F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3521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28</xdr:row>
      <xdr:rowOff>47625</xdr:rowOff>
    </xdr:from>
    <xdr:to>
      <xdr:col>0</xdr:col>
      <xdr:colOff>866775</xdr:colOff>
      <xdr:row>28</xdr:row>
      <xdr:rowOff>465455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8DB2D5E-6032-4CFB-BC67-C50444570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8626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29</xdr:row>
      <xdr:rowOff>47625</xdr:rowOff>
    </xdr:from>
    <xdr:to>
      <xdr:col>0</xdr:col>
      <xdr:colOff>866775</xdr:colOff>
      <xdr:row>29</xdr:row>
      <xdr:rowOff>465455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96926E0-3457-4862-B5D3-29D23C1D7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3732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30</xdr:row>
      <xdr:rowOff>47625</xdr:rowOff>
    </xdr:from>
    <xdr:to>
      <xdr:col>0</xdr:col>
      <xdr:colOff>866775</xdr:colOff>
      <xdr:row>30</xdr:row>
      <xdr:rowOff>465455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D74F9A7-5190-40CE-8846-D3356D7AE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8837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31</xdr:row>
      <xdr:rowOff>47625</xdr:rowOff>
    </xdr:from>
    <xdr:to>
      <xdr:col>0</xdr:col>
      <xdr:colOff>866775</xdr:colOff>
      <xdr:row>31</xdr:row>
      <xdr:rowOff>465455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4DD3EE4-BEE6-4849-BDC7-057370B7F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943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32</xdr:row>
      <xdr:rowOff>47625</xdr:rowOff>
    </xdr:from>
    <xdr:to>
      <xdr:col>0</xdr:col>
      <xdr:colOff>866775</xdr:colOff>
      <xdr:row>32</xdr:row>
      <xdr:rowOff>465455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544273C-830B-405F-9ECF-B51B06F12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9048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33</xdr:row>
      <xdr:rowOff>47625</xdr:rowOff>
    </xdr:from>
    <xdr:to>
      <xdr:col>0</xdr:col>
      <xdr:colOff>866775</xdr:colOff>
      <xdr:row>33</xdr:row>
      <xdr:rowOff>465455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7F5F40F-0F0E-43B4-B2F2-620C7089E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4153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34</xdr:row>
      <xdr:rowOff>47625</xdr:rowOff>
    </xdr:from>
    <xdr:to>
      <xdr:col>0</xdr:col>
      <xdr:colOff>866775</xdr:colOff>
      <xdr:row>34</xdr:row>
      <xdr:rowOff>465455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5C0BCA2-F977-43F4-8137-5F5EE4DE8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9259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35</xdr:row>
      <xdr:rowOff>47625</xdr:rowOff>
    </xdr:from>
    <xdr:to>
      <xdr:col>0</xdr:col>
      <xdr:colOff>866775</xdr:colOff>
      <xdr:row>35</xdr:row>
      <xdr:rowOff>465455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15294E6-F186-462A-90F7-4BD232A62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4364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36</xdr:row>
      <xdr:rowOff>47625</xdr:rowOff>
    </xdr:from>
    <xdr:to>
      <xdr:col>0</xdr:col>
      <xdr:colOff>866775</xdr:colOff>
      <xdr:row>36</xdr:row>
      <xdr:rowOff>465455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8245C3AA-664A-49B0-86AD-63BEC9C5D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9470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37</xdr:row>
      <xdr:rowOff>47625</xdr:rowOff>
    </xdr:from>
    <xdr:to>
      <xdr:col>0</xdr:col>
      <xdr:colOff>866775</xdr:colOff>
      <xdr:row>37</xdr:row>
      <xdr:rowOff>465455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3E6F870-15AD-4023-8729-322933E2C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4575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38</xdr:row>
      <xdr:rowOff>47625</xdr:rowOff>
    </xdr:from>
    <xdr:to>
      <xdr:col>0</xdr:col>
      <xdr:colOff>866775</xdr:colOff>
      <xdr:row>38</xdr:row>
      <xdr:rowOff>465455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8887EA46-3F6E-4B65-898B-D6FA3289D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9680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39</xdr:row>
      <xdr:rowOff>47625</xdr:rowOff>
    </xdr:from>
    <xdr:to>
      <xdr:col>0</xdr:col>
      <xdr:colOff>866775</xdr:colOff>
      <xdr:row>39</xdr:row>
      <xdr:rowOff>465455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D940E71E-F95B-4CA6-B6F3-53900A1B4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4786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40</xdr:row>
      <xdr:rowOff>47625</xdr:rowOff>
    </xdr:from>
    <xdr:to>
      <xdr:col>0</xdr:col>
      <xdr:colOff>866775</xdr:colOff>
      <xdr:row>40</xdr:row>
      <xdr:rowOff>465455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D3DEC3D0-EBC5-4055-A083-1BCFA7A2C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9891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41</xdr:row>
      <xdr:rowOff>47625</xdr:rowOff>
    </xdr:from>
    <xdr:to>
      <xdr:col>0</xdr:col>
      <xdr:colOff>866775</xdr:colOff>
      <xdr:row>41</xdr:row>
      <xdr:rowOff>465455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6CC2D75-D09C-4A7C-BB13-014DBA014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4997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42</xdr:row>
      <xdr:rowOff>47625</xdr:rowOff>
    </xdr:from>
    <xdr:to>
      <xdr:col>0</xdr:col>
      <xdr:colOff>866775</xdr:colOff>
      <xdr:row>42</xdr:row>
      <xdr:rowOff>465455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B8257D0-6D8A-4209-A292-593136B17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10102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43</xdr:row>
      <xdr:rowOff>47625</xdr:rowOff>
    </xdr:from>
    <xdr:to>
      <xdr:col>0</xdr:col>
      <xdr:colOff>866775</xdr:colOff>
      <xdr:row>43</xdr:row>
      <xdr:rowOff>465455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54201B98-E437-475A-A51C-6A59A8D88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15207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44</xdr:row>
      <xdr:rowOff>47625</xdr:rowOff>
    </xdr:from>
    <xdr:to>
      <xdr:col>0</xdr:col>
      <xdr:colOff>866775</xdr:colOff>
      <xdr:row>44</xdr:row>
      <xdr:rowOff>465455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7C70B0C1-1E79-4078-A3F8-16F6BA133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20313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45</xdr:row>
      <xdr:rowOff>47625</xdr:rowOff>
    </xdr:from>
    <xdr:to>
      <xdr:col>0</xdr:col>
      <xdr:colOff>866775</xdr:colOff>
      <xdr:row>45</xdr:row>
      <xdr:rowOff>465455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A22A1A89-986A-49CE-9157-BA6C61B07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25418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46</xdr:row>
      <xdr:rowOff>47625</xdr:rowOff>
    </xdr:from>
    <xdr:to>
      <xdr:col>0</xdr:col>
      <xdr:colOff>866775</xdr:colOff>
      <xdr:row>46</xdr:row>
      <xdr:rowOff>465455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43C09807-1B92-48C6-8B85-63EE26D09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30524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47</xdr:row>
      <xdr:rowOff>47625</xdr:rowOff>
    </xdr:from>
    <xdr:to>
      <xdr:col>0</xdr:col>
      <xdr:colOff>866775</xdr:colOff>
      <xdr:row>47</xdr:row>
      <xdr:rowOff>465455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F72EDDF3-F73E-474F-B373-10C4A2620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35629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48</xdr:row>
      <xdr:rowOff>47625</xdr:rowOff>
    </xdr:from>
    <xdr:to>
      <xdr:col>0</xdr:col>
      <xdr:colOff>866775</xdr:colOff>
      <xdr:row>48</xdr:row>
      <xdr:rowOff>465455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C6683D6-30ED-454C-AEB7-65E745EF6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40734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49</xdr:row>
      <xdr:rowOff>47625</xdr:rowOff>
    </xdr:from>
    <xdr:to>
      <xdr:col>0</xdr:col>
      <xdr:colOff>866775</xdr:colOff>
      <xdr:row>49</xdr:row>
      <xdr:rowOff>465455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B36AC1C-3FFB-4332-BA63-4942B1DE1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45840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50</xdr:row>
      <xdr:rowOff>47625</xdr:rowOff>
    </xdr:from>
    <xdr:to>
      <xdr:col>0</xdr:col>
      <xdr:colOff>866775</xdr:colOff>
      <xdr:row>50</xdr:row>
      <xdr:rowOff>465455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B13B449-5244-4932-9806-E4D0B595A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50945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51</xdr:row>
      <xdr:rowOff>47625</xdr:rowOff>
    </xdr:from>
    <xdr:to>
      <xdr:col>0</xdr:col>
      <xdr:colOff>866775</xdr:colOff>
      <xdr:row>51</xdr:row>
      <xdr:rowOff>465455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A76CD476-1B9A-45FB-8B42-8BB678020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56051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52</xdr:row>
      <xdr:rowOff>47625</xdr:rowOff>
    </xdr:from>
    <xdr:to>
      <xdr:col>0</xdr:col>
      <xdr:colOff>866775</xdr:colOff>
      <xdr:row>52</xdr:row>
      <xdr:rowOff>465455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CE2EA65B-167B-4847-A398-71702951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61156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53</xdr:row>
      <xdr:rowOff>47625</xdr:rowOff>
    </xdr:from>
    <xdr:to>
      <xdr:col>0</xdr:col>
      <xdr:colOff>866775</xdr:colOff>
      <xdr:row>53</xdr:row>
      <xdr:rowOff>465455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3363CB36-5634-4A10-A5E8-5088909C2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66261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54</xdr:row>
      <xdr:rowOff>47625</xdr:rowOff>
    </xdr:from>
    <xdr:to>
      <xdr:col>0</xdr:col>
      <xdr:colOff>866775</xdr:colOff>
      <xdr:row>54</xdr:row>
      <xdr:rowOff>465455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4F1B8C04-AB21-4DE6-958F-977EC0941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71367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55</xdr:row>
      <xdr:rowOff>47625</xdr:rowOff>
    </xdr:from>
    <xdr:to>
      <xdr:col>0</xdr:col>
      <xdr:colOff>866775</xdr:colOff>
      <xdr:row>55</xdr:row>
      <xdr:rowOff>465455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CB228E8B-4162-493B-9149-A3DD2C900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76472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56</xdr:row>
      <xdr:rowOff>47625</xdr:rowOff>
    </xdr:from>
    <xdr:to>
      <xdr:col>0</xdr:col>
      <xdr:colOff>866775</xdr:colOff>
      <xdr:row>56</xdr:row>
      <xdr:rowOff>465455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9ADDF128-DB8D-48B6-8CB9-52D1987D1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81578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57</xdr:row>
      <xdr:rowOff>47625</xdr:rowOff>
    </xdr:from>
    <xdr:to>
      <xdr:col>0</xdr:col>
      <xdr:colOff>866775</xdr:colOff>
      <xdr:row>57</xdr:row>
      <xdr:rowOff>465455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4ADCEFF5-671D-40A8-8573-4694FE22A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86683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58</xdr:row>
      <xdr:rowOff>47625</xdr:rowOff>
    </xdr:from>
    <xdr:to>
      <xdr:col>0</xdr:col>
      <xdr:colOff>866775</xdr:colOff>
      <xdr:row>58</xdr:row>
      <xdr:rowOff>465455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724C07DD-1261-4A94-A9D1-70DEC95D4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91788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59</xdr:row>
      <xdr:rowOff>47625</xdr:rowOff>
    </xdr:from>
    <xdr:to>
      <xdr:col>0</xdr:col>
      <xdr:colOff>866775</xdr:colOff>
      <xdr:row>59</xdr:row>
      <xdr:rowOff>465455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88DA4A2E-4FA6-4C7B-AC80-36C68DEAA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96894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60</xdr:row>
      <xdr:rowOff>47625</xdr:rowOff>
    </xdr:from>
    <xdr:to>
      <xdr:col>0</xdr:col>
      <xdr:colOff>866775</xdr:colOff>
      <xdr:row>60</xdr:row>
      <xdr:rowOff>465455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45F61470-A922-476E-905A-04292086E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01999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61</xdr:row>
      <xdr:rowOff>47625</xdr:rowOff>
    </xdr:from>
    <xdr:to>
      <xdr:col>0</xdr:col>
      <xdr:colOff>866775</xdr:colOff>
      <xdr:row>61</xdr:row>
      <xdr:rowOff>465455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8903C167-4902-4BDB-B919-F39FAA4FE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07105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62</xdr:row>
      <xdr:rowOff>47625</xdr:rowOff>
    </xdr:from>
    <xdr:to>
      <xdr:col>0</xdr:col>
      <xdr:colOff>866775</xdr:colOff>
      <xdr:row>62</xdr:row>
      <xdr:rowOff>465455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D369360-D1A3-497A-A965-49DED1A89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12210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63</xdr:row>
      <xdr:rowOff>47625</xdr:rowOff>
    </xdr:from>
    <xdr:to>
      <xdr:col>0</xdr:col>
      <xdr:colOff>866775</xdr:colOff>
      <xdr:row>63</xdr:row>
      <xdr:rowOff>465455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8DA1CDCD-CC83-4071-84D1-768961940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17315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64</xdr:row>
      <xdr:rowOff>47625</xdr:rowOff>
    </xdr:from>
    <xdr:to>
      <xdr:col>0</xdr:col>
      <xdr:colOff>866775</xdr:colOff>
      <xdr:row>64</xdr:row>
      <xdr:rowOff>465455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99879520-2529-4EA2-A858-69F0E2F64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22421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65</xdr:row>
      <xdr:rowOff>47625</xdr:rowOff>
    </xdr:from>
    <xdr:to>
      <xdr:col>0</xdr:col>
      <xdr:colOff>866775</xdr:colOff>
      <xdr:row>65</xdr:row>
      <xdr:rowOff>465455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EB78933-7E30-45C7-B34F-5A90D6DCF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27526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66</xdr:row>
      <xdr:rowOff>47625</xdr:rowOff>
    </xdr:from>
    <xdr:to>
      <xdr:col>0</xdr:col>
      <xdr:colOff>866775</xdr:colOff>
      <xdr:row>66</xdr:row>
      <xdr:rowOff>465455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99A49484-47EB-4F60-9C53-34F828FE4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32632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67</xdr:row>
      <xdr:rowOff>47625</xdr:rowOff>
    </xdr:from>
    <xdr:to>
      <xdr:col>0</xdr:col>
      <xdr:colOff>866775</xdr:colOff>
      <xdr:row>67</xdr:row>
      <xdr:rowOff>465455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E24DAD1B-4D17-4C76-9CB1-E210E421E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37737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68</xdr:row>
      <xdr:rowOff>47625</xdr:rowOff>
    </xdr:from>
    <xdr:to>
      <xdr:col>0</xdr:col>
      <xdr:colOff>866775</xdr:colOff>
      <xdr:row>68</xdr:row>
      <xdr:rowOff>465455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3E619296-DE96-46DA-828A-6C797C8A9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42842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69</xdr:row>
      <xdr:rowOff>47625</xdr:rowOff>
    </xdr:from>
    <xdr:to>
      <xdr:col>0</xdr:col>
      <xdr:colOff>866775</xdr:colOff>
      <xdr:row>69</xdr:row>
      <xdr:rowOff>465455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3D8BD9F5-8C7A-443E-8378-7F3025F14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47948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70</xdr:row>
      <xdr:rowOff>47625</xdr:rowOff>
    </xdr:from>
    <xdr:to>
      <xdr:col>0</xdr:col>
      <xdr:colOff>866775</xdr:colOff>
      <xdr:row>70</xdr:row>
      <xdr:rowOff>465455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1F8815A4-FF6C-4176-89A1-390DE5C34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53053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71</xdr:row>
      <xdr:rowOff>47625</xdr:rowOff>
    </xdr:from>
    <xdr:to>
      <xdr:col>0</xdr:col>
      <xdr:colOff>866775</xdr:colOff>
      <xdr:row>71</xdr:row>
      <xdr:rowOff>465455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97903A16-1FA6-4617-A373-3FC45898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58159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72</xdr:row>
      <xdr:rowOff>47625</xdr:rowOff>
    </xdr:from>
    <xdr:to>
      <xdr:col>0</xdr:col>
      <xdr:colOff>866775</xdr:colOff>
      <xdr:row>72</xdr:row>
      <xdr:rowOff>465455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2A95147F-B5DD-4E0E-B8BE-91A31646E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63264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73</xdr:row>
      <xdr:rowOff>47625</xdr:rowOff>
    </xdr:from>
    <xdr:to>
      <xdr:col>0</xdr:col>
      <xdr:colOff>866775</xdr:colOff>
      <xdr:row>73</xdr:row>
      <xdr:rowOff>465455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C95C549F-8BAF-4F09-9B52-2E3A42C94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68369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74</xdr:row>
      <xdr:rowOff>47625</xdr:rowOff>
    </xdr:from>
    <xdr:to>
      <xdr:col>0</xdr:col>
      <xdr:colOff>866775</xdr:colOff>
      <xdr:row>74</xdr:row>
      <xdr:rowOff>465455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115B532E-0C8E-42A6-8A3C-5E0EF36EA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73475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75</xdr:row>
      <xdr:rowOff>47625</xdr:rowOff>
    </xdr:from>
    <xdr:to>
      <xdr:col>0</xdr:col>
      <xdr:colOff>866775</xdr:colOff>
      <xdr:row>75</xdr:row>
      <xdr:rowOff>465455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C31F1A37-517F-4153-A960-811625068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7858065"/>
          <a:ext cx="666750" cy="4178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tamtech-my.sharepoint.com/personal/int_gtam_vn/Documents/Gia%20cong/2026/THANG%203/18.03/20260318_%20Z0000002-238846_%2018_19.%20CV%20input%20Tray_%20sl%2006.xlsx" TargetMode="External"/><Relationship Id="rId1" Type="http://schemas.openxmlformats.org/officeDocument/2006/relationships/externalLinkPath" Target="20260318_%20Z0000002-238846_%2018_19.%20CV%20input%20Tray_%20sl%200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tamtech-my.sharepoint.com/personal/int_gtam_vn/Documents/Gia%20cong/2026/THANG%203/18.03/20260318_%20Z0000002-238847_%2017_21_22.%20CV%20Out%20Tray%20&amp;%20CV%20buffer_%2004%20pcs-set_%20BOM%20trien%20khai_%20sl%2009.xlsx" TargetMode="External"/><Relationship Id="rId1" Type="http://schemas.openxmlformats.org/officeDocument/2006/relationships/externalLinkPath" Target="20260318_%20Z0000002-238847_%2017_21_22.%20CV%20Out%20Tray%20&amp;%20CV%20buffer_%2004%20pcs-set_%20BOM%20trien%20khai_%20sl%20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0000002-238846 BOM trien k hai"/>
    </sheetNames>
    <sheetDataSet>
      <sheetData sheetId="0">
        <row r="29">
          <cell r="I29" t="str">
            <v>đã chốt đặt hàng</v>
          </cell>
        </row>
        <row r="79">
          <cell r="I79" t="str">
            <v>đã đặt hàng, dự kiến 26/3 gửi hàng</v>
          </cell>
        </row>
        <row r="80">
          <cell r="I80" t="str">
            <v>đã tồn kho sẵn</v>
          </cell>
        </row>
        <row r="108">
          <cell r="G108" t="str">
            <v>đã báo đặt hàng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0000002-238847 BOM trien khai"/>
    </sheetNames>
    <sheetDataSet>
      <sheetData sheetId="0">
        <row r="99">
          <cell r="G99" t="str">
            <v>đã báo đặt hàng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24"/>
  <sheetViews>
    <sheetView tabSelected="1" workbookViewId="0">
      <selection activeCell="E8" sqref="E8"/>
    </sheetView>
  </sheetViews>
  <sheetFormatPr defaultRowHeight="14.4" x14ac:dyDescent="0.3"/>
  <cols>
    <col min="1" max="1" width="16.44140625" customWidth="1"/>
    <col min="2" max="2" width="12" customWidth="1"/>
    <col min="3" max="3" width="9.6640625" customWidth="1"/>
    <col min="4" max="4" width="52.33203125" customWidth="1"/>
    <col min="5" max="5" width="44.6640625" customWidth="1"/>
    <col min="6" max="6" width="26.44140625" customWidth="1"/>
    <col min="7" max="7" width="61.21875" customWidth="1"/>
    <col min="8" max="14" width="19.6640625" customWidth="1"/>
    <col min="15" max="15" width="19.44140625" customWidth="1"/>
    <col min="16" max="16" width="17.88671875" customWidth="1"/>
  </cols>
  <sheetData>
    <row r="1" spans="1:23" ht="26.4" thickBot="1" x14ac:dyDescent="0.55000000000000004">
      <c r="A1" s="1" t="s">
        <v>0</v>
      </c>
      <c r="B1" s="2"/>
      <c r="C1" s="2"/>
      <c r="D1" s="2"/>
      <c r="G1" s="3" t="s">
        <v>1</v>
      </c>
      <c r="H1" s="4">
        <v>6</v>
      </c>
      <c r="I1" s="4" t="s">
        <v>2</v>
      </c>
    </row>
    <row r="2" spans="1:23" s="7" customFormat="1" ht="16.2" thickTop="1" x14ac:dyDescent="0.3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6" t="s">
        <v>8</v>
      </c>
      <c r="G2" s="5" t="s">
        <v>9</v>
      </c>
      <c r="H2" s="6" t="s">
        <v>10</v>
      </c>
      <c r="I2" s="5" t="s">
        <v>820</v>
      </c>
      <c r="J2" s="5" t="s">
        <v>821</v>
      </c>
      <c r="K2" s="5"/>
      <c r="L2" s="5"/>
      <c r="M2" s="5"/>
      <c r="N2" s="5"/>
      <c r="O2" s="5" t="s">
        <v>12</v>
      </c>
      <c r="W2" s="7" t="s">
        <v>13</v>
      </c>
    </row>
    <row r="3" spans="1:23" s="11" customFormat="1" ht="40.5" hidden="1" customHeight="1" x14ac:dyDescent="0.3">
      <c r="A3" s="8" t="s">
        <v>13</v>
      </c>
      <c r="B3" s="9" t="s">
        <v>39</v>
      </c>
      <c r="C3" s="10" t="s">
        <v>15</v>
      </c>
      <c r="D3" s="9" t="s">
        <v>40</v>
      </c>
      <c r="E3" s="9" t="s">
        <v>41</v>
      </c>
      <c r="F3" s="9" t="s">
        <v>25</v>
      </c>
      <c r="G3" s="10" t="s">
        <v>42</v>
      </c>
      <c r="H3" s="10">
        <f>C3*$H$1</f>
        <v>12</v>
      </c>
      <c r="I3" s="10" t="s">
        <v>822</v>
      </c>
      <c r="J3" s="10"/>
      <c r="K3" s="10"/>
      <c r="L3" s="10"/>
      <c r="M3" s="10"/>
      <c r="N3" s="10"/>
      <c r="O3" s="10" t="s">
        <v>13</v>
      </c>
      <c r="P3" s="8"/>
      <c r="Q3" s="8"/>
      <c r="W3" s="11" t="s">
        <v>13</v>
      </c>
    </row>
    <row r="4" spans="1:23" s="11" customFormat="1" ht="40.5" hidden="1" customHeight="1" x14ac:dyDescent="0.3">
      <c r="A4" s="8" t="s">
        <v>13</v>
      </c>
      <c r="B4" s="9" t="s">
        <v>43</v>
      </c>
      <c r="C4" s="10" t="s">
        <v>15</v>
      </c>
      <c r="D4" s="9" t="s">
        <v>44</v>
      </c>
      <c r="E4" s="10" t="str">
        <f t="shared" ref="E4:F6" si="0">E3</f>
        <v>AL6061, anode màu đen</v>
      </c>
      <c r="F4" s="10" t="str">
        <f t="shared" si="0"/>
        <v>GTAM</v>
      </c>
      <c r="G4" s="10" t="s">
        <v>45</v>
      </c>
      <c r="H4" s="10">
        <f t="shared" ref="H4:H67" si="1">C4*$H$1</f>
        <v>12</v>
      </c>
      <c r="I4" s="10" t="str">
        <f>I3</f>
        <v>đã đặt phôi, có thể làm xong trc 5/4</v>
      </c>
      <c r="J4" s="10"/>
      <c r="K4" s="10"/>
      <c r="L4" s="10"/>
      <c r="M4" s="10"/>
      <c r="N4" s="10"/>
      <c r="O4" s="10" t="s">
        <v>13</v>
      </c>
      <c r="P4" s="8"/>
      <c r="Q4" s="8"/>
      <c r="W4" s="11" t="s">
        <v>13</v>
      </c>
    </row>
    <row r="5" spans="1:23" s="11" customFormat="1" ht="40.5" hidden="1" customHeight="1" x14ac:dyDescent="0.3">
      <c r="A5" s="8" t="s">
        <v>13</v>
      </c>
      <c r="B5" s="9" t="s">
        <v>46</v>
      </c>
      <c r="C5" s="10" t="s">
        <v>47</v>
      </c>
      <c r="D5" s="9" t="s">
        <v>48</v>
      </c>
      <c r="E5" s="10" t="str">
        <f t="shared" si="0"/>
        <v>AL6061, anode màu đen</v>
      </c>
      <c r="F5" s="10" t="str">
        <f t="shared" si="0"/>
        <v>GTAM</v>
      </c>
      <c r="G5" s="10" t="s">
        <v>49</v>
      </c>
      <c r="H5" s="10">
        <f t="shared" si="1"/>
        <v>6</v>
      </c>
      <c r="I5" s="10" t="str">
        <f>I4</f>
        <v>đã đặt phôi, có thể làm xong trc 5/4</v>
      </c>
      <c r="J5" s="10"/>
      <c r="K5" s="10"/>
      <c r="L5" s="10"/>
      <c r="M5" s="10"/>
      <c r="N5" s="10"/>
      <c r="O5" s="10" t="s">
        <v>13</v>
      </c>
      <c r="P5" s="8"/>
      <c r="Q5" s="8"/>
      <c r="W5" s="11" t="s">
        <v>13</v>
      </c>
    </row>
    <row r="6" spans="1:23" s="11" customFormat="1" ht="40.5" hidden="1" customHeight="1" x14ac:dyDescent="0.3">
      <c r="A6" s="8" t="s">
        <v>13</v>
      </c>
      <c r="B6" s="9" t="s">
        <v>50</v>
      </c>
      <c r="C6" s="10" t="s">
        <v>15</v>
      </c>
      <c r="D6" s="9" t="s">
        <v>51</v>
      </c>
      <c r="E6" s="10" t="str">
        <f t="shared" si="0"/>
        <v>AL6061, anode màu đen</v>
      </c>
      <c r="F6" s="10" t="str">
        <f t="shared" si="0"/>
        <v>GTAM</v>
      </c>
      <c r="G6" s="10" t="s">
        <v>52</v>
      </c>
      <c r="H6" s="10">
        <f t="shared" si="1"/>
        <v>12</v>
      </c>
      <c r="I6" s="10" t="str">
        <f>I5</f>
        <v>đã đặt phôi, có thể làm xong trc 5/4</v>
      </c>
      <c r="J6" s="10"/>
      <c r="K6" s="10"/>
      <c r="L6" s="10"/>
      <c r="M6" s="10"/>
      <c r="N6" s="10"/>
      <c r="O6" s="10" t="s">
        <v>13</v>
      </c>
      <c r="P6" s="8"/>
      <c r="Q6" s="8"/>
      <c r="W6" s="11" t="s">
        <v>13</v>
      </c>
    </row>
    <row r="7" spans="1:23" s="11" customFormat="1" ht="40.5" hidden="1" customHeight="1" x14ac:dyDescent="0.3">
      <c r="A7" s="8" t="s">
        <v>13</v>
      </c>
      <c r="B7" s="9" t="s">
        <v>53</v>
      </c>
      <c r="C7" s="10" t="s">
        <v>15</v>
      </c>
      <c r="D7" s="9" t="s">
        <v>54</v>
      </c>
      <c r="E7" s="9" t="s">
        <v>55</v>
      </c>
      <c r="F7" s="9" t="s">
        <v>828</v>
      </c>
      <c r="G7" s="10" t="s">
        <v>56</v>
      </c>
      <c r="H7" s="10">
        <f t="shared" si="1"/>
        <v>12</v>
      </c>
      <c r="I7" s="10" t="s">
        <v>829</v>
      </c>
      <c r="J7" s="10"/>
      <c r="K7" s="10"/>
      <c r="L7" s="10"/>
      <c r="M7" s="10"/>
      <c r="N7" s="10"/>
      <c r="O7" s="10" t="s">
        <v>13</v>
      </c>
      <c r="P7" s="8"/>
      <c r="Q7" s="8"/>
      <c r="W7" s="11" t="s">
        <v>13</v>
      </c>
    </row>
    <row r="8" spans="1:23" s="11" customFormat="1" ht="40.5" hidden="1" customHeight="1" x14ac:dyDescent="0.3">
      <c r="A8" s="8" t="s">
        <v>13</v>
      </c>
      <c r="B8" s="9" t="s">
        <v>57</v>
      </c>
      <c r="C8" s="10" t="s">
        <v>21</v>
      </c>
      <c r="D8" s="9" t="s">
        <v>58</v>
      </c>
      <c r="E8" s="9" t="s">
        <v>59</v>
      </c>
      <c r="F8" s="9" t="s">
        <v>37</v>
      </c>
      <c r="G8" s="10" t="s">
        <v>60</v>
      </c>
      <c r="H8" s="10">
        <f t="shared" si="1"/>
        <v>24</v>
      </c>
      <c r="I8" s="10" t="s">
        <v>38</v>
      </c>
      <c r="J8" s="10"/>
      <c r="K8" s="10"/>
      <c r="L8" s="10"/>
      <c r="M8" s="10"/>
      <c r="N8" s="10"/>
      <c r="O8" s="10" t="s">
        <v>13</v>
      </c>
      <c r="P8" s="8"/>
      <c r="Q8" s="8"/>
      <c r="W8" s="11" t="s">
        <v>13</v>
      </c>
    </row>
    <row r="9" spans="1:23" s="11" customFormat="1" ht="40.5" hidden="1" customHeight="1" x14ac:dyDescent="0.3">
      <c r="A9" s="8" t="s">
        <v>13</v>
      </c>
      <c r="B9" s="9" t="s">
        <v>61</v>
      </c>
      <c r="C9" s="10" t="s">
        <v>47</v>
      </c>
      <c r="D9" s="9" t="s">
        <v>62</v>
      </c>
      <c r="E9" s="9" t="s">
        <v>63</v>
      </c>
      <c r="F9" s="9" t="s">
        <v>34</v>
      </c>
      <c r="G9" s="10" t="s">
        <v>64</v>
      </c>
      <c r="H9" s="10">
        <f t="shared" si="1"/>
        <v>6</v>
      </c>
      <c r="I9" s="10" t="s">
        <v>35</v>
      </c>
      <c r="J9" s="10"/>
      <c r="K9" s="10"/>
      <c r="L9" s="10"/>
      <c r="M9" s="10"/>
      <c r="N9" s="10"/>
      <c r="O9" s="10" t="s">
        <v>13</v>
      </c>
      <c r="P9" s="8"/>
      <c r="Q9" s="8"/>
      <c r="W9" s="11" t="s">
        <v>13</v>
      </c>
    </row>
    <row r="10" spans="1:23" s="11" customFormat="1" ht="40.5" hidden="1" customHeight="1" x14ac:dyDescent="0.3">
      <c r="A10" s="8" t="s">
        <v>13</v>
      </c>
      <c r="B10" s="9" t="s">
        <v>65</v>
      </c>
      <c r="C10" s="10" t="s">
        <v>47</v>
      </c>
      <c r="D10" s="9" t="s">
        <v>66</v>
      </c>
      <c r="E10" s="9" t="s">
        <v>67</v>
      </c>
      <c r="F10" s="10" t="str">
        <f>F9</f>
        <v>SPG</v>
      </c>
      <c r="G10" s="10" t="s">
        <v>68</v>
      </c>
      <c r="H10" s="10">
        <f t="shared" si="1"/>
        <v>6</v>
      </c>
      <c r="I10" s="10" t="str">
        <f>I9</f>
        <v>đã báo đặt hàng</v>
      </c>
      <c r="J10" s="10"/>
      <c r="K10" s="10"/>
      <c r="L10" s="10"/>
      <c r="M10" s="10"/>
      <c r="N10" s="10"/>
      <c r="O10" s="10" t="s">
        <v>13</v>
      </c>
      <c r="P10" s="8"/>
      <c r="Q10" s="8"/>
      <c r="W10" s="11" t="s">
        <v>13</v>
      </c>
    </row>
    <row r="11" spans="1:23" s="11" customFormat="1" ht="40.5" hidden="1" customHeight="1" x14ac:dyDescent="0.3">
      <c r="A11" s="8" t="s">
        <v>13</v>
      </c>
      <c r="B11" s="9" t="s">
        <v>69</v>
      </c>
      <c r="C11" s="10" t="s">
        <v>15</v>
      </c>
      <c r="D11" s="9" t="s">
        <v>70</v>
      </c>
      <c r="E11" s="9" t="s">
        <v>71</v>
      </c>
      <c r="F11" s="9" t="s">
        <v>36</v>
      </c>
      <c r="G11" s="10" t="s">
        <v>72</v>
      </c>
      <c r="H11" s="10">
        <f t="shared" si="1"/>
        <v>12</v>
      </c>
      <c r="I11" s="10" t="s">
        <v>824</v>
      </c>
      <c r="J11" s="10"/>
      <c r="K11" s="10"/>
      <c r="L11" s="10"/>
      <c r="M11" s="10"/>
      <c r="N11" s="10"/>
      <c r="O11" s="10" t="s">
        <v>13</v>
      </c>
      <c r="P11" s="8"/>
      <c r="Q11" s="8"/>
      <c r="W11" s="11" t="s">
        <v>13</v>
      </c>
    </row>
    <row r="12" spans="1:23" s="11" customFormat="1" ht="40.5" hidden="1" customHeight="1" x14ac:dyDescent="0.3">
      <c r="A12" s="8" t="s">
        <v>13</v>
      </c>
      <c r="B12" s="9" t="s">
        <v>73</v>
      </c>
      <c r="C12" s="10" t="s">
        <v>15</v>
      </c>
      <c r="D12" s="9" t="s">
        <v>74</v>
      </c>
      <c r="E12" s="9" t="s">
        <v>75</v>
      </c>
      <c r="F12" s="9" t="s">
        <v>32</v>
      </c>
      <c r="G12" s="10" t="s">
        <v>76</v>
      </c>
      <c r="H12" s="10">
        <f t="shared" si="1"/>
        <v>12</v>
      </c>
      <c r="I12" s="10" t="s">
        <v>33</v>
      </c>
      <c r="J12" s="10"/>
      <c r="K12" s="10"/>
      <c r="L12" s="10"/>
      <c r="M12" s="10"/>
      <c r="N12" s="10"/>
      <c r="O12" s="10" t="s">
        <v>13</v>
      </c>
      <c r="P12" s="8"/>
      <c r="Q12" s="8"/>
      <c r="W12" s="11" t="s">
        <v>13</v>
      </c>
    </row>
    <row r="13" spans="1:23" s="11" customFormat="1" ht="40.5" customHeight="1" x14ac:dyDescent="0.3">
      <c r="A13" s="8" t="s">
        <v>13</v>
      </c>
      <c r="B13" s="9" t="s">
        <v>77</v>
      </c>
      <c r="C13" s="10" t="s">
        <v>47</v>
      </c>
      <c r="D13" s="9" t="s">
        <v>78</v>
      </c>
      <c r="E13" s="9" t="s">
        <v>79</v>
      </c>
      <c r="F13" s="9" t="s">
        <v>26</v>
      </c>
      <c r="G13" s="10" t="s">
        <v>80</v>
      </c>
      <c r="H13" s="10">
        <f t="shared" si="1"/>
        <v>6</v>
      </c>
      <c r="I13" s="10" t="s">
        <v>823</v>
      </c>
      <c r="J13" s="10"/>
      <c r="K13" s="10"/>
      <c r="L13" s="10"/>
      <c r="M13" s="10"/>
      <c r="N13" s="10"/>
      <c r="O13" s="10" t="s">
        <v>13</v>
      </c>
      <c r="P13" s="8"/>
      <c r="Q13" s="8"/>
      <c r="W13" s="11" t="s">
        <v>13</v>
      </c>
    </row>
    <row r="14" spans="1:23" s="11" customFormat="1" ht="40.5" hidden="1" customHeight="1" x14ac:dyDescent="0.3">
      <c r="A14" s="8" t="s">
        <v>13</v>
      </c>
      <c r="B14" s="9" t="s">
        <v>81</v>
      </c>
      <c r="C14" s="10" t="s">
        <v>47</v>
      </c>
      <c r="D14" s="9" t="s">
        <v>82</v>
      </c>
      <c r="E14" s="9" t="s">
        <v>817</v>
      </c>
      <c r="F14" s="9" t="s">
        <v>29</v>
      </c>
      <c r="G14" s="10" t="s">
        <v>83</v>
      </c>
      <c r="H14" s="10">
        <f t="shared" si="1"/>
        <v>6</v>
      </c>
      <c r="I14" s="10" t="s">
        <v>825</v>
      </c>
      <c r="J14" s="10"/>
      <c r="K14" s="10"/>
      <c r="L14" s="10"/>
      <c r="M14" s="10"/>
      <c r="N14" s="10"/>
      <c r="O14" s="10" t="s">
        <v>13</v>
      </c>
      <c r="P14" s="8"/>
      <c r="Q14" s="8"/>
      <c r="W14" s="11" t="s">
        <v>13</v>
      </c>
    </row>
    <row r="15" spans="1:23" s="11" customFormat="1" ht="40.5" hidden="1" customHeight="1" x14ac:dyDescent="0.3">
      <c r="A15" s="8" t="s">
        <v>13</v>
      </c>
      <c r="B15" s="9" t="s">
        <v>84</v>
      </c>
      <c r="C15" s="10" t="s">
        <v>47</v>
      </c>
      <c r="D15" s="9" t="s">
        <v>85</v>
      </c>
      <c r="E15" s="9" t="s">
        <v>86</v>
      </c>
      <c r="F15" s="9" t="s">
        <v>25</v>
      </c>
      <c r="G15" s="10" t="s">
        <v>87</v>
      </c>
      <c r="H15" s="10">
        <f t="shared" si="1"/>
        <v>6</v>
      </c>
      <c r="I15" s="10" t="str">
        <f>I5</f>
        <v>đã đặt phôi, có thể làm xong trc 5/4</v>
      </c>
      <c r="J15" s="10"/>
      <c r="K15" s="10"/>
      <c r="L15" s="10"/>
      <c r="M15" s="10"/>
      <c r="N15" s="10"/>
      <c r="O15" s="10" t="s">
        <v>13</v>
      </c>
      <c r="P15" s="8"/>
      <c r="Q15" s="8"/>
      <c r="W15" s="11" t="s">
        <v>13</v>
      </c>
    </row>
    <row r="16" spans="1:23" s="11" customFormat="1" ht="40.5" hidden="1" customHeight="1" x14ac:dyDescent="0.3">
      <c r="A16" s="8" t="s">
        <v>13</v>
      </c>
      <c r="B16" s="9" t="s">
        <v>88</v>
      </c>
      <c r="C16" s="10" t="s">
        <v>47</v>
      </c>
      <c r="D16" s="9" t="s">
        <v>89</v>
      </c>
      <c r="E16" s="10" t="str">
        <f>E3</f>
        <v>AL6061, anode màu đen</v>
      </c>
      <c r="F16" s="10" t="str">
        <f>F15</f>
        <v>GTAM</v>
      </c>
      <c r="G16" s="10" t="s">
        <v>90</v>
      </c>
      <c r="H16" s="10">
        <f t="shared" si="1"/>
        <v>6</v>
      </c>
      <c r="I16" s="10" t="str">
        <f>I15</f>
        <v>đã đặt phôi, có thể làm xong trc 5/4</v>
      </c>
      <c r="J16" s="10"/>
      <c r="K16" s="10"/>
      <c r="L16" s="10"/>
      <c r="M16" s="10"/>
      <c r="N16" s="10"/>
      <c r="O16" s="10" t="s">
        <v>13</v>
      </c>
      <c r="P16" s="8"/>
      <c r="Q16" s="8"/>
      <c r="W16" s="11" t="s">
        <v>13</v>
      </c>
    </row>
    <row r="17" spans="1:23" s="11" customFormat="1" ht="40.5" hidden="1" customHeight="1" x14ac:dyDescent="0.3">
      <c r="A17" s="8" t="s">
        <v>13</v>
      </c>
      <c r="B17" s="9" t="s">
        <v>91</v>
      </c>
      <c r="C17" s="10" t="s">
        <v>47</v>
      </c>
      <c r="D17" s="9" t="s">
        <v>92</v>
      </c>
      <c r="E17" s="10" t="str">
        <f>E16</f>
        <v>AL6061, anode màu đen</v>
      </c>
      <c r="F17" s="10" t="str">
        <f>F16</f>
        <v>GTAM</v>
      </c>
      <c r="G17" s="10" t="s">
        <v>93</v>
      </c>
      <c r="H17" s="10">
        <f t="shared" si="1"/>
        <v>6</v>
      </c>
      <c r="I17" s="10" t="str">
        <f>I16</f>
        <v>đã đặt phôi, có thể làm xong trc 5/4</v>
      </c>
      <c r="J17" s="10"/>
      <c r="K17" s="10"/>
      <c r="L17" s="10"/>
      <c r="M17" s="10"/>
      <c r="N17" s="10"/>
      <c r="O17" s="10" t="s">
        <v>13</v>
      </c>
      <c r="P17" s="8"/>
      <c r="Q17" s="8"/>
      <c r="W17" s="11" t="s">
        <v>13</v>
      </c>
    </row>
    <row r="18" spans="1:23" s="11" customFormat="1" ht="40.5" hidden="1" customHeight="1" x14ac:dyDescent="0.3">
      <c r="A18" s="8" t="s">
        <v>13</v>
      </c>
      <c r="B18" s="9" t="s">
        <v>94</v>
      </c>
      <c r="C18" s="10" t="s">
        <v>47</v>
      </c>
      <c r="D18" s="9" t="s">
        <v>95</v>
      </c>
      <c r="E18" s="10" t="str">
        <f>E17</f>
        <v>AL6061, anode màu đen</v>
      </c>
      <c r="F18" s="10" t="str">
        <f>F17</f>
        <v>GTAM</v>
      </c>
      <c r="G18" s="10" t="s">
        <v>96</v>
      </c>
      <c r="H18" s="10">
        <f t="shared" si="1"/>
        <v>6</v>
      </c>
      <c r="I18" s="10" t="str">
        <f>I17</f>
        <v>đã đặt phôi, có thể làm xong trc 5/4</v>
      </c>
      <c r="J18" s="10"/>
      <c r="K18" s="10"/>
      <c r="L18" s="10"/>
      <c r="M18" s="10"/>
      <c r="N18" s="10"/>
      <c r="O18" s="10" t="s">
        <v>13</v>
      </c>
      <c r="P18" s="8"/>
      <c r="Q18" s="8"/>
      <c r="W18" s="11" t="s">
        <v>13</v>
      </c>
    </row>
    <row r="19" spans="1:23" s="11" customFormat="1" ht="40.5" customHeight="1" x14ac:dyDescent="0.3">
      <c r="A19" s="8" t="s">
        <v>13</v>
      </c>
      <c r="B19" s="9" t="s">
        <v>97</v>
      </c>
      <c r="C19" s="10" t="s">
        <v>47</v>
      </c>
      <c r="D19" s="9" t="s">
        <v>98</v>
      </c>
      <c r="E19" s="10" t="str">
        <f>E13</f>
        <v>SUS304 có điện hóa</v>
      </c>
      <c r="F19" s="9" t="s">
        <v>26</v>
      </c>
      <c r="G19" s="10" t="s">
        <v>99</v>
      </c>
      <c r="H19" s="10">
        <f t="shared" si="1"/>
        <v>6</v>
      </c>
      <c r="I19" s="10" t="str">
        <f>I13</f>
        <v>đã chốt làm MAH toàn bộ, có hàng trc 4/4</v>
      </c>
      <c r="J19" s="10"/>
      <c r="K19" s="10"/>
      <c r="L19" s="10"/>
      <c r="M19" s="10"/>
      <c r="N19" s="10"/>
      <c r="O19" s="10" t="s">
        <v>13</v>
      </c>
      <c r="P19" s="8"/>
      <c r="Q19" s="8"/>
      <c r="W19" s="11" t="s">
        <v>13</v>
      </c>
    </row>
    <row r="20" spans="1:23" s="11" customFormat="1" ht="40.5" hidden="1" customHeight="1" x14ac:dyDescent="0.3">
      <c r="A20" s="8" t="s">
        <v>13</v>
      </c>
      <c r="B20" s="9" t="s">
        <v>100</v>
      </c>
      <c r="C20" s="10" t="s">
        <v>47</v>
      </c>
      <c r="D20" s="9" t="s">
        <v>101</v>
      </c>
      <c r="E20" s="10" t="str">
        <f>E18</f>
        <v>AL6061, anode màu đen</v>
      </c>
      <c r="F20" s="9" t="s">
        <v>25</v>
      </c>
      <c r="G20" s="10" t="s">
        <v>102</v>
      </c>
      <c r="H20" s="10">
        <f t="shared" si="1"/>
        <v>6</v>
      </c>
      <c r="I20" s="10" t="str">
        <f>I18</f>
        <v>đã đặt phôi, có thể làm xong trc 5/4</v>
      </c>
      <c r="J20" s="10"/>
      <c r="K20" s="10"/>
      <c r="L20" s="10"/>
      <c r="M20" s="10"/>
      <c r="N20" s="10"/>
      <c r="O20" s="10" t="s">
        <v>13</v>
      </c>
      <c r="P20" s="8"/>
      <c r="Q20" s="8"/>
      <c r="W20" s="11" t="s">
        <v>13</v>
      </c>
    </row>
    <row r="21" spans="1:23" s="11" customFormat="1" ht="40.5" customHeight="1" x14ac:dyDescent="0.3">
      <c r="A21" s="8" t="s">
        <v>13</v>
      </c>
      <c r="B21" s="9" t="s">
        <v>103</v>
      </c>
      <c r="C21" s="10" t="s">
        <v>47</v>
      </c>
      <c r="D21" s="9" t="s">
        <v>104</v>
      </c>
      <c r="E21" s="10" t="str">
        <f>E19</f>
        <v>SUS304 có điện hóa</v>
      </c>
      <c r="F21" s="10" t="str">
        <f>F19</f>
        <v>CG</v>
      </c>
      <c r="G21" s="10" t="s">
        <v>105</v>
      </c>
      <c r="H21" s="10">
        <f t="shared" si="1"/>
        <v>6</v>
      </c>
      <c r="I21" s="10" t="str">
        <f>I13</f>
        <v>đã chốt làm MAH toàn bộ, có hàng trc 4/4</v>
      </c>
      <c r="J21" s="10"/>
      <c r="K21" s="10"/>
      <c r="L21" s="10"/>
      <c r="M21" s="10"/>
      <c r="N21" s="10"/>
      <c r="O21" s="10" t="s">
        <v>13</v>
      </c>
      <c r="P21" s="8"/>
      <c r="Q21" s="8"/>
      <c r="W21" s="11" t="s">
        <v>13</v>
      </c>
    </row>
    <row r="22" spans="1:23" s="11" customFormat="1" ht="40.5" hidden="1" customHeight="1" x14ac:dyDescent="0.3">
      <c r="A22" s="8" t="s">
        <v>13</v>
      </c>
      <c r="B22" s="9" t="s">
        <v>106</v>
      </c>
      <c r="C22" s="10" t="s">
        <v>47</v>
      </c>
      <c r="D22" s="9" t="s">
        <v>107</v>
      </c>
      <c r="E22" s="10" t="str">
        <f>E20</f>
        <v>AL6061, anode màu đen</v>
      </c>
      <c r="F22" s="10" t="str">
        <f>F20</f>
        <v>GTAM</v>
      </c>
      <c r="G22" s="10" t="s">
        <v>108</v>
      </c>
      <c r="H22" s="10">
        <f t="shared" si="1"/>
        <v>6</v>
      </c>
      <c r="I22" s="10" t="str">
        <f>I20</f>
        <v>đã đặt phôi, có thể làm xong trc 5/4</v>
      </c>
      <c r="J22" s="10"/>
      <c r="K22" s="10"/>
      <c r="L22" s="10"/>
      <c r="M22" s="10"/>
      <c r="N22" s="10"/>
      <c r="O22" s="10" t="s">
        <v>13</v>
      </c>
      <c r="P22" s="8"/>
      <c r="Q22" s="8"/>
      <c r="W22" s="11" t="s">
        <v>13</v>
      </c>
    </row>
    <row r="23" spans="1:23" s="11" customFormat="1" ht="40.5" hidden="1" customHeight="1" x14ac:dyDescent="0.3">
      <c r="A23" s="8" t="s">
        <v>13</v>
      </c>
      <c r="B23" s="9" t="s">
        <v>109</v>
      </c>
      <c r="C23" s="10" t="s">
        <v>47</v>
      </c>
      <c r="D23" s="19" t="s">
        <v>110</v>
      </c>
      <c r="E23" s="9" t="s">
        <v>111</v>
      </c>
      <c r="F23" s="9" t="str">
        <f>F7</f>
        <v>TAT</v>
      </c>
      <c r="G23" s="10" t="s">
        <v>112</v>
      </c>
      <c r="H23" s="10">
        <f t="shared" si="1"/>
        <v>6</v>
      </c>
      <c r="I23" s="10" t="str">
        <f>I7</f>
        <v>Ng đã đặt NCC mới cho đủ 84CV</v>
      </c>
      <c r="J23" s="10"/>
      <c r="K23" s="10"/>
      <c r="L23" s="10"/>
      <c r="M23" s="10"/>
      <c r="N23" s="10"/>
      <c r="O23" s="10" t="s">
        <v>13</v>
      </c>
      <c r="P23" s="8"/>
      <c r="Q23" s="8"/>
      <c r="W23" s="11" t="s">
        <v>13</v>
      </c>
    </row>
    <row r="24" spans="1:23" s="11" customFormat="1" ht="40.5" hidden="1" customHeight="1" x14ac:dyDescent="0.3">
      <c r="A24" s="8" t="s">
        <v>13</v>
      </c>
      <c r="B24" s="9" t="s">
        <v>113</v>
      </c>
      <c r="C24" s="10" t="s">
        <v>15</v>
      </c>
      <c r="D24" s="9" t="s">
        <v>114</v>
      </c>
      <c r="E24" s="10" t="str">
        <f>E23</f>
        <v>SUS304 điện hóa/ S45C mạ Nikel</v>
      </c>
      <c r="F24" s="10" t="str">
        <f>F23</f>
        <v>TAT</v>
      </c>
      <c r="G24" s="10" t="s">
        <v>56</v>
      </c>
      <c r="H24" s="10">
        <f t="shared" si="1"/>
        <v>12</v>
      </c>
      <c r="I24" s="10" t="str">
        <f>I23</f>
        <v>Ng đã đặt NCC mới cho đủ 84CV</v>
      </c>
      <c r="J24" s="10"/>
      <c r="K24" s="10"/>
      <c r="L24" s="10"/>
      <c r="M24" s="10"/>
      <c r="N24" s="10"/>
      <c r="O24" s="10" t="s">
        <v>13</v>
      </c>
      <c r="P24" s="8"/>
      <c r="Q24" s="8"/>
      <c r="W24" s="11" t="s">
        <v>13</v>
      </c>
    </row>
    <row r="25" spans="1:23" s="11" customFormat="1" ht="40.5" hidden="1" customHeight="1" x14ac:dyDescent="0.3">
      <c r="A25" s="8" t="s">
        <v>13</v>
      </c>
      <c r="B25" s="9" t="s">
        <v>115</v>
      </c>
      <c r="C25" s="10" t="s">
        <v>47</v>
      </c>
      <c r="D25" s="9" t="s">
        <v>116</v>
      </c>
      <c r="E25" s="10" t="str">
        <f>E16</f>
        <v>AL6061, anode màu đen</v>
      </c>
      <c r="F25" s="10" t="str">
        <f>F17</f>
        <v>GTAM</v>
      </c>
      <c r="G25" s="10" t="s">
        <v>117</v>
      </c>
      <c r="H25" s="10">
        <f t="shared" si="1"/>
        <v>6</v>
      </c>
      <c r="I25" s="10" t="str">
        <f>I22</f>
        <v>đã đặt phôi, có thể làm xong trc 5/4</v>
      </c>
      <c r="J25" s="10"/>
      <c r="K25" s="10"/>
      <c r="L25" s="10"/>
      <c r="M25" s="10"/>
      <c r="N25" s="10"/>
      <c r="O25" s="10" t="s">
        <v>13</v>
      </c>
      <c r="P25" s="8"/>
      <c r="Q25" s="8"/>
      <c r="W25" s="11" t="s">
        <v>13</v>
      </c>
    </row>
    <row r="26" spans="1:23" s="11" customFormat="1" ht="40.5" hidden="1" customHeight="1" x14ac:dyDescent="0.3">
      <c r="A26" s="8" t="s">
        <v>13</v>
      </c>
      <c r="B26" s="9" t="s">
        <v>118</v>
      </c>
      <c r="C26" s="10" t="s">
        <v>47</v>
      </c>
      <c r="D26" s="9" t="s">
        <v>119</v>
      </c>
      <c r="E26" s="10" t="str">
        <f>E17</f>
        <v>AL6061, anode màu đen</v>
      </c>
      <c r="F26" s="10" t="str">
        <f>F25</f>
        <v>GTAM</v>
      </c>
      <c r="G26" s="10" t="s">
        <v>120</v>
      </c>
      <c r="H26" s="10">
        <f t="shared" si="1"/>
        <v>6</v>
      </c>
      <c r="I26" s="10" t="str">
        <f>I25</f>
        <v>đã đặt phôi, có thể làm xong trc 5/4</v>
      </c>
      <c r="J26" s="10"/>
      <c r="K26" s="10"/>
      <c r="L26" s="10"/>
      <c r="M26" s="10"/>
      <c r="N26" s="10"/>
      <c r="O26" s="10" t="s">
        <v>13</v>
      </c>
      <c r="P26" s="8"/>
      <c r="Q26" s="8"/>
      <c r="W26" s="11" t="s">
        <v>13</v>
      </c>
    </row>
    <row r="27" spans="1:23" s="11" customFormat="1" ht="40.5" customHeight="1" x14ac:dyDescent="0.3">
      <c r="A27" s="8" t="s">
        <v>13</v>
      </c>
      <c r="B27" s="9" t="s">
        <v>121</v>
      </c>
      <c r="C27" s="10" t="s">
        <v>47</v>
      </c>
      <c r="D27" s="9" t="s">
        <v>122</v>
      </c>
      <c r="E27" s="10" t="str">
        <f>E21</f>
        <v>SUS304 có điện hóa</v>
      </c>
      <c r="F27" s="10" t="str">
        <f>F19</f>
        <v>CG</v>
      </c>
      <c r="G27" s="10" t="s">
        <v>123</v>
      </c>
      <c r="H27" s="10">
        <f t="shared" si="1"/>
        <v>6</v>
      </c>
      <c r="I27" s="10" t="str">
        <f>I19</f>
        <v>đã chốt làm MAH toàn bộ, có hàng trc 4/4</v>
      </c>
      <c r="J27" s="10"/>
      <c r="K27" s="10"/>
      <c r="L27" s="10"/>
      <c r="M27" s="10"/>
      <c r="N27" s="10"/>
      <c r="O27" s="10" t="s">
        <v>13</v>
      </c>
      <c r="P27" s="8"/>
      <c r="Q27" s="8"/>
      <c r="W27" s="11" t="s">
        <v>13</v>
      </c>
    </row>
    <row r="28" spans="1:23" s="11" customFormat="1" ht="40.5" customHeight="1" x14ac:dyDescent="0.3">
      <c r="A28" s="8" t="s">
        <v>13</v>
      </c>
      <c r="B28" s="9" t="s">
        <v>124</v>
      </c>
      <c r="C28" s="10" t="s">
        <v>15</v>
      </c>
      <c r="D28" s="9" t="s">
        <v>125</v>
      </c>
      <c r="E28" s="10" t="str">
        <f>E27</f>
        <v>SUS304 có điện hóa</v>
      </c>
      <c r="F28" s="10" t="str">
        <f>F27</f>
        <v>CG</v>
      </c>
      <c r="G28" s="10" t="s">
        <v>126</v>
      </c>
      <c r="H28" s="10">
        <f t="shared" si="1"/>
        <v>12</v>
      </c>
      <c r="I28" s="10" t="str">
        <f>I27</f>
        <v>đã chốt làm MAH toàn bộ, có hàng trc 4/4</v>
      </c>
      <c r="J28" s="10"/>
      <c r="K28" s="10"/>
      <c r="L28" s="10"/>
      <c r="M28" s="10"/>
      <c r="N28" s="10"/>
      <c r="O28" s="10" t="s">
        <v>13</v>
      </c>
      <c r="P28" s="8"/>
      <c r="Q28" s="8"/>
      <c r="W28" s="11" t="s">
        <v>13</v>
      </c>
    </row>
    <row r="29" spans="1:23" s="11" customFormat="1" ht="40.5" hidden="1" customHeight="1" x14ac:dyDescent="0.3">
      <c r="A29" s="8" t="s">
        <v>13</v>
      </c>
      <c r="B29" s="9" t="s">
        <v>14</v>
      </c>
      <c r="C29" s="10" t="s">
        <v>15</v>
      </c>
      <c r="D29" s="9" t="s">
        <v>16</v>
      </c>
      <c r="E29" s="9" t="s">
        <v>17</v>
      </c>
      <c r="F29" s="9" t="s">
        <v>18</v>
      </c>
      <c r="G29" s="10" t="s">
        <v>19</v>
      </c>
      <c r="H29" s="10">
        <f t="shared" si="1"/>
        <v>12</v>
      </c>
      <c r="I29" s="10" t="s">
        <v>827</v>
      </c>
      <c r="J29" s="10"/>
      <c r="K29" s="10"/>
      <c r="L29" s="10"/>
      <c r="M29" s="10"/>
      <c r="N29" s="10"/>
      <c r="O29" s="10" t="s">
        <v>13</v>
      </c>
      <c r="P29" s="8"/>
      <c r="Q29" s="8"/>
      <c r="W29" s="11" t="s">
        <v>13</v>
      </c>
    </row>
    <row r="30" spans="1:23" s="11" customFormat="1" ht="40.5" hidden="1" customHeight="1" x14ac:dyDescent="0.3">
      <c r="A30" s="8" t="s">
        <v>13</v>
      </c>
      <c r="B30" s="9" t="s">
        <v>127</v>
      </c>
      <c r="C30" s="10" t="s">
        <v>47</v>
      </c>
      <c r="D30" s="19" t="s">
        <v>128</v>
      </c>
      <c r="E30" s="9" t="s">
        <v>111</v>
      </c>
      <c r="F30" s="9" t="str">
        <f>F24</f>
        <v>TAT</v>
      </c>
      <c r="G30" s="10" t="s">
        <v>129</v>
      </c>
      <c r="H30" s="10">
        <f t="shared" si="1"/>
        <v>6</v>
      </c>
      <c r="I30" s="10" t="str">
        <f>I24</f>
        <v>Ng đã đặt NCC mới cho đủ 84CV</v>
      </c>
      <c r="J30" s="10"/>
      <c r="K30" s="10"/>
      <c r="L30" s="10"/>
      <c r="M30" s="10"/>
      <c r="N30" s="10"/>
      <c r="O30" s="10" t="s">
        <v>13</v>
      </c>
      <c r="P30" s="8"/>
      <c r="Q30" s="8"/>
      <c r="W30" s="11" t="s">
        <v>13</v>
      </c>
    </row>
    <row r="31" spans="1:23" s="11" customFormat="1" ht="40.5" hidden="1" customHeight="1" x14ac:dyDescent="0.3">
      <c r="A31" s="8" t="s">
        <v>13</v>
      </c>
      <c r="B31" s="9" t="s">
        <v>130</v>
      </c>
      <c r="C31" s="10" t="s">
        <v>15</v>
      </c>
      <c r="D31" s="9" t="s">
        <v>131</v>
      </c>
      <c r="E31" s="9" t="s">
        <v>132</v>
      </c>
      <c r="F31" s="9" t="s">
        <v>27</v>
      </c>
      <c r="G31" s="10" t="s">
        <v>133</v>
      </c>
      <c r="H31" s="10">
        <f t="shared" si="1"/>
        <v>12</v>
      </c>
      <c r="I31" s="10" t="s">
        <v>28</v>
      </c>
      <c r="J31" s="10"/>
      <c r="K31" s="10"/>
      <c r="L31" s="10"/>
      <c r="M31" s="10"/>
      <c r="N31" s="10"/>
      <c r="O31" s="10" t="s">
        <v>13</v>
      </c>
      <c r="P31" s="8"/>
      <c r="Q31" s="8"/>
      <c r="W31" s="11" t="s">
        <v>13</v>
      </c>
    </row>
    <row r="32" spans="1:23" s="11" customFormat="1" ht="40.5" hidden="1" customHeight="1" x14ac:dyDescent="0.3">
      <c r="A32" s="8" t="s">
        <v>13</v>
      </c>
      <c r="B32" s="9" t="s">
        <v>134</v>
      </c>
      <c r="C32" s="10" t="s">
        <v>15</v>
      </c>
      <c r="D32" s="9" t="s">
        <v>135</v>
      </c>
      <c r="E32" s="10" t="str">
        <f>E3</f>
        <v>AL6061, anode màu đen</v>
      </c>
      <c r="F32" s="10" t="str">
        <f>F3</f>
        <v>GTAM</v>
      </c>
      <c r="G32" s="10" t="s">
        <v>136</v>
      </c>
      <c r="H32" s="10">
        <f t="shared" si="1"/>
        <v>12</v>
      </c>
      <c r="I32" s="10" t="str">
        <f>I26</f>
        <v>đã đặt phôi, có thể làm xong trc 5/4</v>
      </c>
      <c r="J32" s="10"/>
      <c r="K32" s="10"/>
      <c r="L32" s="10"/>
      <c r="M32" s="10"/>
      <c r="N32" s="10"/>
      <c r="O32" s="10" t="s">
        <v>13</v>
      </c>
      <c r="P32" s="8"/>
      <c r="Q32" s="8"/>
      <c r="W32" s="11" t="s">
        <v>13</v>
      </c>
    </row>
    <row r="33" spans="1:23" s="11" customFormat="1" ht="40.5" hidden="1" customHeight="1" x14ac:dyDescent="0.3">
      <c r="A33" s="8" t="s">
        <v>13</v>
      </c>
      <c r="B33" s="9" t="s">
        <v>137</v>
      </c>
      <c r="C33" s="10" t="s">
        <v>15</v>
      </c>
      <c r="D33" s="9" t="s">
        <v>138</v>
      </c>
      <c r="E33" s="9" t="s">
        <v>139</v>
      </c>
      <c r="F33" s="9" t="s">
        <v>37</v>
      </c>
      <c r="G33" s="10" t="s">
        <v>140</v>
      </c>
      <c r="H33" s="10">
        <f t="shared" si="1"/>
        <v>12</v>
      </c>
      <c r="I33" s="10" t="str">
        <f>I8</f>
        <v>đã đặt hàng CN</v>
      </c>
      <c r="J33" s="10"/>
      <c r="K33" s="10"/>
      <c r="L33" s="10"/>
      <c r="M33" s="10"/>
      <c r="N33" s="10"/>
      <c r="O33" s="10" t="s">
        <v>13</v>
      </c>
      <c r="P33" s="8"/>
      <c r="Q33" s="8"/>
      <c r="W33" s="11" t="s">
        <v>13</v>
      </c>
    </row>
    <row r="34" spans="1:23" s="11" customFormat="1" ht="40.5" customHeight="1" x14ac:dyDescent="0.3">
      <c r="A34" s="8" t="s">
        <v>13</v>
      </c>
      <c r="B34" s="9" t="s">
        <v>141</v>
      </c>
      <c r="C34" s="10" t="s">
        <v>47</v>
      </c>
      <c r="D34" s="9" t="s">
        <v>142</v>
      </c>
      <c r="E34" s="10" t="str">
        <f>E27</f>
        <v>SUS304 có điện hóa</v>
      </c>
      <c r="F34" s="10" t="str">
        <f>F27</f>
        <v>CG</v>
      </c>
      <c r="G34" s="10" t="s">
        <v>123</v>
      </c>
      <c r="H34" s="10">
        <f t="shared" si="1"/>
        <v>6</v>
      </c>
      <c r="I34" s="10" t="str">
        <f>I28</f>
        <v>đã chốt làm MAH toàn bộ, có hàng trc 4/4</v>
      </c>
      <c r="J34" s="10"/>
      <c r="K34" s="10"/>
      <c r="L34" s="10"/>
      <c r="M34" s="10"/>
      <c r="N34" s="10"/>
      <c r="O34" s="10" t="s">
        <v>13</v>
      </c>
      <c r="P34" s="8"/>
      <c r="Q34" s="8"/>
      <c r="W34" s="11" t="s">
        <v>13</v>
      </c>
    </row>
    <row r="35" spans="1:23" s="11" customFormat="1" ht="40.5" hidden="1" customHeight="1" x14ac:dyDescent="0.3">
      <c r="A35" s="8" t="s">
        <v>13</v>
      </c>
      <c r="B35" s="9" t="s">
        <v>143</v>
      </c>
      <c r="C35" s="10" t="s">
        <v>47</v>
      </c>
      <c r="D35" s="9" t="s">
        <v>144</v>
      </c>
      <c r="E35" s="10" t="str">
        <f>E25</f>
        <v>AL6061, anode màu đen</v>
      </c>
      <c r="F35" s="10" t="str">
        <f>F25</f>
        <v>GTAM</v>
      </c>
      <c r="G35" s="10" t="s">
        <v>117</v>
      </c>
      <c r="H35" s="10">
        <f t="shared" si="1"/>
        <v>6</v>
      </c>
      <c r="I35" s="10" t="str">
        <f>I32</f>
        <v>đã đặt phôi, có thể làm xong trc 5/4</v>
      </c>
      <c r="J35" s="10"/>
      <c r="K35" s="10"/>
      <c r="L35" s="10"/>
      <c r="M35" s="10"/>
      <c r="N35" s="10"/>
      <c r="O35" s="10" t="s">
        <v>13</v>
      </c>
      <c r="P35" s="8"/>
      <c r="Q35" s="8"/>
      <c r="W35" s="11" t="s">
        <v>13</v>
      </c>
    </row>
    <row r="36" spans="1:23" s="11" customFormat="1" ht="40.5" hidden="1" customHeight="1" x14ac:dyDescent="0.3">
      <c r="A36" s="8" t="s">
        <v>13</v>
      </c>
      <c r="B36" s="9" t="s">
        <v>145</v>
      </c>
      <c r="C36" s="10" t="s">
        <v>21</v>
      </c>
      <c r="D36" s="9" t="s">
        <v>146</v>
      </c>
      <c r="E36" s="10" t="str">
        <f t="shared" ref="E36:F38" si="2">E3</f>
        <v>AL6061, anode màu đen</v>
      </c>
      <c r="F36" s="10" t="str">
        <f t="shared" si="2"/>
        <v>GTAM</v>
      </c>
      <c r="G36" s="10" t="s">
        <v>42</v>
      </c>
      <c r="H36" s="10">
        <f t="shared" si="1"/>
        <v>24</v>
      </c>
      <c r="I36" s="10" t="str">
        <f>I35</f>
        <v>đã đặt phôi, có thể làm xong trc 5/4</v>
      </c>
      <c r="J36" s="10"/>
      <c r="K36" s="10"/>
      <c r="L36" s="10"/>
      <c r="M36" s="10"/>
      <c r="N36" s="10"/>
      <c r="O36" s="10" t="s">
        <v>13</v>
      </c>
      <c r="P36" s="8"/>
      <c r="Q36" s="8"/>
      <c r="W36" s="11" t="s">
        <v>13</v>
      </c>
    </row>
    <row r="37" spans="1:23" s="11" customFormat="1" ht="40.5" hidden="1" customHeight="1" x14ac:dyDescent="0.3">
      <c r="A37" s="8" t="s">
        <v>13</v>
      </c>
      <c r="B37" s="9" t="s">
        <v>147</v>
      </c>
      <c r="C37" s="10" t="s">
        <v>21</v>
      </c>
      <c r="D37" s="9" t="s">
        <v>148</v>
      </c>
      <c r="E37" s="10" t="str">
        <f t="shared" si="2"/>
        <v>AL6061, anode màu đen</v>
      </c>
      <c r="F37" s="10" t="str">
        <f t="shared" si="2"/>
        <v>GTAM</v>
      </c>
      <c r="G37" s="10" t="s">
        <v>45</v>
      </c>
      <c r="H37" s="10">
        <f t="shared" si="1"/>
        <v>24</v>
      </c>
      <c r="I37" s="10" t="str">
        <f>I36</f>
        <v>đã đặt phôi, có thể làm xong trc 5/4</v>
      </c>
      <c r="J37" s="10"/>
      <c r="K37" s="10"/>
      <c r="L37" s="10"/>
      <c r="M37" s="10"/>
      <c r="N37" s="10"/>
      <c r="O37" s="10" t="s">
        <v>13</v>
      </c>
      <c r="P37" s="8"/>
      <c r="Q37" s="8"/>
      <c r="W37" s="11" t="s">
        <v>13</v>
      </c>
    </row>
    <row r="38" spans="1:23" s="11" customFormat="1" ht="40.5" hidden="1" customHeight="1" x14ac:dyDescent="0.3">
      <c r="A38" s="8" t="s">
        <v>13</v>
      </c>
      <c r="B38" s="9" t="s">
        <v>149</v>
      </c>
      <c r="C38" s="10" t="s">
        <v>15</v>
      </c>
      <c r="D38" s="9" t="s">
        <v>150</v>
      </c>
      <c r="E38" s="10" t="str">
        <f t="shared" si="2"/>
        <v>AL6061, anode màu đen</v>
      </c>
      <c r="F38" s="10" t="str">
        <f t="shared" si="2"/>
        <v>GTAM</v>
      </c>
      <c r="G38" s="10" t="s">
        <v>49</v>
      </c>
      <c r="H38" s="10">
        <f t="shared" si="1"/>
        <v>12</v>
      </c>
      <c r="I38" s="10" t="str">
        <f>I37</f>
        <v>đã đặt phôi, có thể làm xong trc 5/4</v>
      </c>
      <c r="J38" s="10"/>
      <c r="K38" s="10"/>
      <c r="L38" s="10"/>
      <c r="M38" s="10"/>
      <c r="N38" s="10"/>
      <c r="O38" s="10" t="s">
        <v>13</v>
      </c>
      <c r="P38" s="8"/>
      <c r="Q38" s="8"/>
      <c r="W38" s="11" t="s">
        <v>13</v>
      </c>
    </row>
    <row r="39" spans="1:23" s="11" customFormat="1" ht="40.5" hidden="1" customHeight="1" x14ac:dyDescent="0.3">
      <c r="A39" s="8" t="s">
        <v>13</v>
      </c>
      <c r="B39" s="9" t="s">
        <v>151</v>
      </c>
      <c r="C39" s="10" t="s">
        <v>21</v>
      </c>
      <c r="D39" s="9" t="s">
        <v>152</v>
      </c>
      <c r="E39" s="10" t="str">
        <f>E7</f>
        <v>SUS304 điện hóa/ S45C mạ Nikel, có lăn nhám</v>
      </c>
      <c r="F39" s="10" t="str">
        <f>F24</f>
        <v>TAT</v>
      </c>
      <c r="G39" s="10" t="s">
        <v>56</v>
      </c>
      <c r="H39" s="10">
        <f t="shared" si="1"/>
        <v>24</v>
      </c>
      <c r="I39" s="10" t="str">
        <f>I30</f>
        <v>Ng đã đặt NCC mới cho đủ 84CV</v>
      </c>
      <c r="J39" s="10"/>
      <c r="K39" s="10"/>
      <c r="L39" s="10"/>
      <c r="M39" s="10"/>
      <c r="N39" s="10"/>
      <c r="O39" s="10" t="s">
        <v>13</v>
      </c>
      <c r="P39" s="8"/>
      <c r="Q39" s="8"/>
      <c r="W39" s="11" t="s">
        <v>13</v>
      </c>
    </row>
    <row r="40" spans="1:23" s="11" customFormat="1" ht="40.5" hidden="1" customHeight="1" x14ac:dyDescent="0.3">
      <c r="A40" s="8" t="s">
        <v>13</v>
      </c>
      <c r="B40" s="9" t="s">
        <v>153</v>
      </c>
      <c r="C40" s="10" t="s">
        <v>154</v>
      </c>
      <c r="D40" s="9" t="s">
        <v>155</v>
      </c>
      <c r="E40" s="10" t="str">
        <f>E8</f>
        <v>vòng bi 688AZZ</v>
      </c>
      <c r="F40" s="10" t="str">
        <f>F8</f>
        <v>VB</v>
      </c>
      <c r="G40" s="10" t="s">
        <v>60</v>
      </c>
      <c r="H40" s="10">
        <f t="shared" si="1"/>
        <v>48</v>
      </c>
      <c r="I40" s="10" t="str">
        <f>I33</f>
        <v>đã đặt hàng CN</v>
      </c>
      <c r="J40" s="10"/>
      <c r="K40" s="10"/>
      <c r="L40" s="10"/>
      <c r="M40" s="10"/>
      <c r="N40" s="10"/>
      <c r="O40" s="10" t="s">
        <v>13</v>
      </c>
      <c r="P40" s="8"/>
      <c r="Q40" s="8"/>
      <c r="W40" s="11" t="s">
        <v>13</v>
      </c>
    </row>
    <row r="41" spans="1:23" s="11" customFormat="1" ht="40.5" customHeight="1" x14ac:dyDescent="0.3">
      <c r="A41" s="8" t="s">
        <v>13</v>
      </c>
      <c r="B41" s="9" t="s">
        <v>156</v>
      </c>
      <c r="C41" s="10" t="s">
        <v>15</v>
      </c>
      <c r="D41" s="9" t="s">
        <v>157</v>
      </c>
      <c r="E41" s="10" t="str">
        <f>E13</f>
        <v>SUS304 có điện hóa</v>
      </c>
      <c r="F41" s="10" t="str">
        <f>F13</f>
        <v>CG</v>
      </c>
      <c r="G41" s="10" t="s">
        <v>80</v>
      </c>
      <c r="H41" s="10">
        <f t="shared" si="1"/>
        <v>12</v>
      </c>
      <c r="I41" s="10" t="str">
        <f>I34</f>
        <v>đã chốt làm MAH toàn bộ, có hàng trc 4/4</v>
      </c>
      <c r="J41" s="10"/>
      <c r="K41" s="10"/>
      <c r="L41" s="10"/>
      <c r="M41" s="10"/>
      <c r="N41" s="10"/>
      <c r="O41" s="10" t="s">
        <v>13</v>
      </c>
      <c r="P41" s="8"/>
      <c r="Q41" s="8"/>
      <c r="W41" s="11" t="s">
        <v>13</v>
      </c>
    </row>
    <row r="42" spans="1:23" s="11" customFormat="1" ht="40.5" hidden="1" customHeight="1" x14ac:dyDescent="0.3">
      <c r="A42" s="8" t="s">
        <v>13</v>
      </c>
      <c r="B42" s="9" t="s">
        <v>158</v>
      </c>
      <c r="C42" s="10" t="s">
        <v>15</v>
      </c>
      <c r="D42" s="9" t="s">
        <v>159</v>
      </c>
      <c r="E42" s="10" t="str">
        <f>E15</f>
        <v>Mica trong</v>
      </c>
      <c r="F42" s="10" t="str">
        <f>F15</f>
        <v>GTAM</v>
      </c>
      <c r="G42" s="10" t="s">
        <v>87</v>
      </c>
      <c r="H42" s="10">
        <f t="shared" si="1"/>
        <v>12</v>
      </c>
      <c r="I42" s="10" t="str">
        <f>I38</f>
        <v>đã đặt phôi, có thể làm xong trc 5/4</v>
      </c>
      <c r="J42" s="10"/>
      <c r="K42" s="10"/>
      <c r="L42" s="10"/>
      <c r="M42" s="10"/>
      <c r="N42" s="10"/>
      <c r="O42" s="10" t="s">
        <v>13</v>
      </c>
      <c r="P42" s="8"/>
      <c r="Q42" s="8"/>
      <c r="W42" s="11" t="s">
        <v>13</v>
      </c>
    </row>
    <row r="43" spans="1:23" s="11" customFormat="1" ht="40.5" hidden="1" customHeight="1" x14ac:dyDescent="0.3">
      <c r="A43" s="8" t="s">
        <v>13</v>
      </c>
      <c r="B43" s="9" t="s">
        <v>160</v>
      </c>
      <c r="C43" s="10" t="s">
        <v>21</v>
      </c>
      <c r="D43" s="9" t="s">
        <v>161</v>
      </c>
      <c r="E43" s="9" t="s">
        <v>71</v>
      </c>
      <c r="F43" s="10" t="str">
        <f>F11</f>
        <v>UP</v>
      </c>
      <c r="G43" s="10" t="s">
        <v>72</v>
      </c>
      <c r="H43" s="10">
        <f t="shared" si="1"/>
        <v>24</v>
      </c>
      <c r="I43" s="10" t="str">
        <f>I11</f>
        <v>đã nhận hàng 30/3</v>
      </c>
      <c r="J43" s="10"/>
      <c r="K43" s="10"/>
      <c r="L43" s="10"/>
      <c r="M43" s="10"/>
      <c r="N43" s="10"/>
      <c r="O43" s="10" t="s">
        <v>13</v>
      </c>
      <c r="P43" s="8"/>
      <c r="Q43" s="8"/>
      <c r="W43" s="11" t="s">
        <v>13</v>
      </c>
    </row>
    <row r="44" spans="1:23" s="11" customFormat="1" ht="40.5" hidden="1" customHeight="1" x14ac:dyDescent="0.3">
      <c r="A44" s="8" t="s">
        <v>13</v>
      </c>
      <c r="B44" s="9" t="s">
        <v>162</v>
      </c>
      <c r="C44" s="10" t="s">
        <v>21</v>
      </c>
      <c r="D44" s="9" t="s">
        <v>163</v>
      </c>
      <c r="E44" s="10" t="str">
        <f>E12</f>
        <v>chốt cài KES3-12</v>
      </c>
      <c r="F44" s="10" t="str">
        <f>F12</f>
        <v>Then cài</v>
      </c>
      <c r="G44" s="10" t="s">
        <v>76</v>
      </c>
      <c r="H44" s="10">
        <f t="shared" si="1"/>
        <v>24</v>
      </c>
      <c r="I44" s="10" t="str">
        <f>I12</f>
        <v>đã tồn kho sẵn</v>
      </c>
      <c r="J44" s="10"/>
      <c r="K44" s="10"/>
      <c r="L44" s="10"/>
      <c r="M44" s="10"/>
      <c r="N44" s="10"/>
      <c r="O44" s="10" t="s">
        <v>13</v>
      </c>
      <c r="P44" s="8"/>
      <c r="Q44" s="8"/>
      <c r="W44" s="11" t="s">
        <v>13</v>
      </c>
    </row>
    <row r="45" spans="1:23" s="11" customFormat="1" ht="40.5" hidden="1" customHeight="1" x14ac:dyDescent="0.3">
      <c r="A45" s="8" t="s">
        <v>13</v>
      </c>
      <c r="B45" s="9" t="s">
        <v>164</v>
      </c>
      <c r="C45" s="10" t="s">
        <v>15</v>
      </c>
      <c r="D45" s="9" t="s">
        <v>165</v>
      </c>
      <c r="E45" s="10" t="str">
        <f>E14</f>
        <v xml:space="preserve">HTBN225S3M-150 --&gt; đổi sang C-HTBN225S3M-150 </v>
      </c>
      <c r="F45" s="10" t="str">
        <f>F14</f>
        <v>MI</v>
      </c>
      <c r="G45" s="10" t="s">
        <v>83</v>
      </c>
      <c r="H45" s="10">
        <f t="shared" si="1"/>
        <v>12</v>
      </c>
      <c r="I45" s="10" t="str">
        <f>I14</f>
        <v>31/3 và 3/4 nhận đủ hàng</v>
      </c>
      <c r="J45" s="10"/>
      <c r="K45" s="10"/>
      <c r="L45" s="10"/>
      <c r="M45" s="10"/>
      <c r="N45" s="10"/>
      <c r="O45" s="10" t="s">
        <v>13</v>
      </c>
      <c r="P45" s="8"/>
      <c r="Q45" s="8"/>
      <c r="W45" s="11" t="s">
        <v>13</v>
      </c>
    </row>
    <row r="46" spans="1:23" s="11" customFormat="1" ht="40.5" hidden="1" customHeight="1" x14ac:dyDescent="0.3">
      <c r="A46" s="8" t="s">
        <v>13</v>
      </c>
      <c r="B46" s="9" t="s">
        <v>166</v>
      </c>
      <c r="C46" s="10" t="s">
        <v>15</v>
      </c>
      <c r="D46" s="9" t="s">
        <v>167</v>
      </c>
      <c r="E46" s="10" t="str">
        <f>E9</f>
        <v>động cơ S6I06GX-V12/ bộ điều khiển tốc độ đi kèm</v>
      </c>
      <c r="F46" s="10" t="str">
        <f>F9</f>
        <v>SPG</v>
      </c>
      <c r="G46" s="10" t="s">
        <v>64</v>
      </c>
      <c r="H46" s="10">
        <f t="shared" si="1"/>
        <v>12</v>
      </c>
      <c r="I46" s="10" t="str">
        <f>I10</f>
        <v>đã báo đặt hàng</v>
      </c>
      <c r="J46" s="10"/>
      <c r="K46" s="10"/>
      <c r="L46" s="10"/>
      <c r="M46" s="10"/>
      <c r="N46" s="10"/>
      <c r="O46" s="10" t="s">
        <v>13</v>
      </c>
      <c r="P46" s="8"/>
      <c r="Q46" s="8"/>
      <c r="W46" s="11" t="s">
        <v>13</v>
      </c>
    </row>
    <row r="47" spans="1:23" s="11" customFormat="1" ht="40.5" hidden="1" customHeight="1" x14ac:dyDescent="0.3">
      <c r="A47" s="8" t="s">
        <v>13</v>
      </c>
      <c r="B47" s="9" t="s">
        <v>168</v>
      </c>
      <c r="C47" s="10" t="s">
        <v>15</v>
      </c>
      <c r="D47" s="9" t="s">
        <v>169</v>
      </c>
      <c r="E47" s="10" t="str">
        <f>E10</f>
        <v>kiu</v>
      </c>
      <c r="F47" s="10" t="str">
        <f>F10</f>
        <v>SPG</v>
      </c>
      <c r="G47" s="10" t="s">
        <v>68</v>
      </c>
      <c r="H47" s="10">
        <f t="shared" si="1"/>
        <v>12</v>
      </c>
      <c r="I47" s="10" t="str">
        <f>I46</f>
        <v>đã báo đặt hàng</v>
      </c>
      <c r="J47" s="10"/>
      <c r="K47" s="10"/>
      <c r="L47" s="10"/>
      <c r="M47" s="10"/>
      <c r="N47" s="10"/>
      <c r="O47" s="10" t="s">
        <v>13</v>
      </c>
      <c r="P47" s="8"/>
      <c r="Q47" s="8"/>
      <c r="W47" s="11" t="s">
        <v>13</v>
      </c>
    </row>
    <row r="48" spans="1:23" s="11" customFormat="1" ht="40.5" hidden="1" customHeight="1" x14ac:dyDescent="0.3">
      <c r="A48" s="8" t="s">
        <v>13</v>
      </c>
      <c r="B48" s="9" t="s">
        <v>170</v>
      </c>
      <c r="C48" s="10" t="s">
        <v>15</v>
      </c>
      <c r="D48" s="9" t="s">
        <v>171</v>
      </c>
      <c r="E48" s="10" t="str">
        <f t="shared" ref="E48:F53" si="3">E16</f>
        <v>AL6061, anode màu đen</v>
      </c>
      <c r="F48" s="10" t="str">
        <f t="shared" si="3"/>
        <v>GTAM</v>
      </c>
      <c r="G48" s="10" t="s">
        <v>90</v>
      </c>
      <c r="H48" s="10">
        <f t="shared" si="1"/>
        <v>12</v>
      </c>
      <c r="I48" s="10" t="str">
        <f>I38</f>
        <v>đã đặt phôi, có thể làm xong trc 5/4</v>
      </c>
      <c r="J48" s="10"/>
      <c r="K48" s="10"/>
      <c r="L48" s="10"/>
      <c r="M48" s="10"/>
      <c r="N48" s="10"/>
      <c r="O48" s="10" t="s">
        <v>13</v>
      </c>
      <c r="P48" s="8"/>
      <c r="Q48" s="8"/>
      <c r="W48" s="11" t="s">
        <v>13</v>
      </c>
    </row>
    <row r="49" spans="1:23" s="11" customFormat="1" ht="40.5" hidden="1" customHeight="1" x14ac:dyDescent="0.3">
      <c r="A49" s="8" t="s">
        <v>13</v>
      </c>
      <c r="B49" s="9" t="s">
        <v>172</v>
      </c>
      <c r="C49" s="10" t="s">
        <v>15</v>
      </c>
      <c r="D49" s="9" t="s">
        <v>173</v>
      </c>
      <c r="E49" s="10" t="str">
        <f t="shared" si="3"/>
        <v>AL6061, anode màu đen</v>
      </c>
      <c r="F49" s="10" t="str">
        <f t="shared" si="3"/>
        <v>GTAM</v>
      </c>
      <c r="G49" s="10" t="s">
        <v>93</v>
      </c>
      <c r="H49" s="10">
        <f t="shared" si="1"/>
        <v>12</v>
      </c>
      <c r="I49" s="10" t="str">
        <f>I48</f>
        <v>đã đặt phôi, có thể làm xong trc 5/4</v>
      </c>
      <c r="J49" s="10"/>
      <c r="K49" s="10"/>
      <c r="L49" s="10"/>
      <c r="M49" s="10"/>
      <c r="N49" s="10"/>
      <c r="O49" s="10" t="s">
        <v>13</v>
      </c>
      <c r="P49" s="8"/>
      <c r="Q49" s="8"/>
      <c r="W49" s="11" t="s">
        <v>13</v>
      </c>
    </row>
    <row r="50" spans="1:23" s="11" customFormat="1" ht="40.5" hidden="1" customHeight="1" x14ac:dyDescent="0.3">
      <c r="A50" s="8" t="s">
        <v>13</v>
      </c>
      <c r="B50" s="9" t="s">
        <v>174</v>
      </c>
      <c r="C50" s="10" t="s">
        <v>15</v>
      </c>
      <c r="D50" s="9" t="s">
        <v>175</v>
      </c>
      <c r="E50" s="10" t="str">
        <f t="shared" si="3"/>
        <v>AL6061, anode màu đen</v>
      </c>
      <c r="F50" s="10" t="str">
        <f t="shared" si="3"/>
        <v>GTAM</v>
      </c>
      <c r="G50" s="10" t="s">
        <v>96</v>
      </c>
      <c r="H50" s="10">
        <f t="shared" si="1"/>
        <v>12</v>
      </c>
      <c r="I50" s="10" t="str">
        <f>I49</f>
        <v>đã đặt phôi, có thể làm xong trc 5/4</v>
      </c>
      <c r="J50" s="10"/>
      <c r="K50" s="10"/>
      <c r="L50" s="10"/>
      <c r="M50" s="10"/>
      <c r="N50" s="10"/>
      <c r="O50" s="10" t="s">
        <v>13</v>
      </c>
      <c r="P50" s="8"/>
      <c r="Q50" s="8"/>
      <c r="W50" s="11" t="s">
        <v>13</v>
      </c>
    </row>
    <row r="51" spans="1:23" s="11" customFormat="1" ht="40.5" customHeight="1" x14ac:dyDescent="0.3">
      <c r="A51" s="8" t="s">
        <v>13</v>
      </c>
      <c r="B51" s="9" t="s">
        <v>176</v>
      </c>
      <c r="C51" s="10" t="s">
        <v>15</v>
      </c>
      <c r="D51" s="9" t="s">
        <v>177</v>
      </c>
      <c r="E51" s="10" t="str">
        <f t="shared" si="3"/>
        <v>SUS304 có điện hóa</v>
      </c>
      <c r="F51" s="10" t="str">
        <f t="shared" si="3"/>
        <v>CG</v>
      </c>
      <c r="G51" s="10" t="s">
        <v>99</v>
      </c>
      <c r="H51" s="10">
        <f t="shared" si="1"/>
        <v>12</v>
      </c>
      <c r="I51" s="10" t="str">
        <f>I41</f>
        <v>đã chốt làm MAH toàn bộ, có hàng trc 4/4</v>
      </c>
      <c r="J51" s="10"/>
      <c r="K51" s="10"/>
      <c r="L51" s="10"/>
      <c r="M51" s="10"/>
      <c r="N51" s="10"/>
      <c r="O51" s="10" t="s">
        <v>13</v>
      </c>
      <c r="P51" s="8"/>
      <c r="Q51" s="8"/>
      <c r="W51" s="11" t="s">
        <v>13</v>
      </c>
    </row>
    <row r="52" spans="1:23" s="11" customFormat="1" ht="40.5" hidden="1" customHeight="1" x14ac:dyDescent="0.3">
      <c r="A52" s="8" t="s">
        <v>13</v>
      </c>
      <c r="B52" s="9" t="s">
        <v>178</v>
      </c>
      <c r="C52" s="10" t="s">
        <v>15</v>
      </c>
      <c r="D52" s="9" t="s">
        <v>179</v>
      </c>
      <c r="E52" s="10" t="str">
        <f t="shared" si="3"/>
        <v>AL6061, anode màu đen</v>
      </c>
      <c r="F52" s="10" t="str">
        <f t="shared" si="3"/>
        <v>GTAM</v>
      </c>
      <c r="G52" s="10" t="s">
        <v>102</v>
      </c>
      <c r="H52" s="10">
        <f t="shared" si="1"/>
        <v>12</v>
      </c>
      <c r="I52" s="10" t="str">
        <f>I42</f>
        <v>đã đặt phôi, có thể làm xong trc 5/4</v>
      </c>
      <c r="J52" s="10"/>
      <c r="K52" s="10"/>
      <c r="L52" s="10"/>
      <c r="M52" s="10"/>
      <c r="N52" s="10"/>
      <c r="O52" s="10" t="s">
        <v>13</v>
      </c>
      <c r="P52" s="8"/>
      <c r="Q52" s="8"/>
      <c r="W52" s="11" t="s">
        <v>13</v>
      </c>
    </row>
    <row r="53" spans="1:23" s="11" customFormat="1" ht="40.5" customHeight="1" x14ac:dyDescent="0.3">
      <c r="A53" s="8" t="s">
        <v>13</v>
      </c>
      <c r="B53" s="9" t="s">
        <v>180</v>
      </c>
      <c r="C53" s="10" t="s">
        <v>15</v>
      </c>
      <c r="D53" s="9" t="s">
        <v>181</v>
      </c>
      <c r="E53" s="10" t="str">
        <f t="shared" si="3"/>
        <v>SUS304 có điện hóa</v>
      </c>
      <c r="F53" s="10" t="str">
        <f t="shared" si="3"/>
        <v>CG</v>
      </c>
      <c r="G53" s="10" t="s">
        <v>105</v>
      </c>
      <c r="H53" s="10">
        <f t="shared" si="1"/>
        <v>12</v>
      </c>
      <c r="I53" s="10" t="str">
        <f>I51</f>
        <v>đã chốt làm MAH toàn bộ, có hàng trc 4/4</v>
      </c>
      <c r="J53" s="10"/>
      <c r="K53" s="10"/>
      <c r="L53" s="10"/>
      <c r="M53" s="10"/>
      <c r="N53" s="10"/>
      <c r="O53" s="10" t="s">
        <v>13</v>
      </c>
      <c r="P53" s="8"/>
      <c r="Q53" s="8"/>
      <c r="W53" s="11" t="s">
        <v>13</v>
      </c>
    </row>
    <row r="54" spans="1:23" s="11" customFormat="1" ht="40.5" hidden="1" customHeight="1" x14ac:dyDescent="0.3">
      <c r="A54" s="8" t="s">
        <v>13</v>
      </c>
      <c r="B54" s="9" t="s">
        <v>182</v>
      </c>
      <c r="C54" s="10" t="s">
        <v>15</v>
      </c>
      <c r="D54" s="19" t="s">
        <v>183</v>
      </c>
      <c r="E54" s="10" t="str">
        <f>E23</f>
        <v>SUS304 điện hóa/ S45C mạ Nikel</v>
      </c>
      <c r="F54" s="10" t="str">
        <f>F23</f>
        <v>TAT</v>
      </c>
      <c r="G54" s="10" t="s">
        <v>112</v>
      </c>
      <c r="H54" s="10">
        <f t="shared" si="1"/>
        <v>12</v>
      </c>
      <c r="I54" s="10" t="str">
        <f>I39</f>
        <v>Ng đã đặt NCC mới cho đủ 84CV</v>
      </c>
      <c r="J54" s="10"/>
      <c r="K54" s="10"/>
      <c r="L54" s="10"/>
      <c r="M54" s="10"/>
      <c r="N54" s="10"/>
      <c r="O54" s="10" t="s">
        <v>13</v>
      </c>
      <c r="P54" s="8"/>
      <c r="Q54" s="8"/>
      <c r="W54" s="11" t="s">
        <v>13</v>
      </c>
    </row>
    <row r="55" spans="1:23" s="11" customFormat="1" ht="40.5" hidden="1" customHeight="1" x14ac:dyDescent="0.3">
      <c r="A55" s="8" t="s">
        <v>13</v>
      </c>
      <c r="B55" s="9" t="s">
        <v>184</v>
      </c>
      <c r="C55" s="10" t="s">
        <v>21</v>
      </c>
      <c r="D55" s="9" t="s">
        <v>185</v>
      </c>
      <c r="E55" s="10" t="str">
        <f>E54</f>
        <v>SUS304 điện hóa/ S45C mạ Nikel</v>
      </c>
      <c r="F55" s="10" t="str">
        <f>F39</f>
        <v>TAT</v>
      </c>
      <c r="G55" s="10" t="s">
        <v>56</v>
      </c>
      <c r="H55" s="10">
        <f t="shared" si="1"/>
        <v>24</v>
      </c>
      <c r="I55" s="10" t="str">
        <f>I54</f>
        <v>Ng đã đặt NCC mới cho đủ 84CV</v>
      </c>
      <c r="J55" s="10"/>
      <c r="K55" s="10"/>
      <c r="L55" s="10"/>
      <c r="M55" s="10"/>
      <c r="N55" s="10"/>
      <c r="O55" s="10" t="s">
        <v>13</v>
      </c>
      <c r="P55" s="8"/>
      <c r="Q55" s="8"/>
      <c r="W55" s="11" t="s">
        <v>13</v>
      </c>
    </row>
    <row r="56" spans="1:23" s="11" customFormat="1" ht="40.5" hidden="1" customHeight="1" x14ac:dyDescent="0.3">
      <c r="A56" s="8" t="s">
        <v>13</v>
      </c>
      <c r="B56" s="9" t="s">
        <v>186</v>
      </c>
      <c r="C56" s="10" t="s">
        <v>15</v>
      </c>
      <c r="D56" s="9" t="s">
        <v>187</v>
      </c>
      <c r="E56" s="10" t="str">
        <f>E35</f>
        <v>AL6061, anode màu đen</v>
      </c>
      <c r="F56" s="10" t="str">
        <f>F35</f>
        <v>GTAM</v>
      </c>
      <c r="G56" s="10" t="s">
        <v>117</v>
      </c>
      <c r="H56" s="10">
        <f t="shared" si="1"/>
        <v>12</v>
      </c>
      <c r="I56" s="10" t="str">
        <f>I52</f>
        <v>đã đặt phôi, có thể làm xong trc 5/4</v>
      </c>
      <c r="J56" s="10"/>
      <c r="K56" s="10"/>
      <c r="L56" s="10"/>
      <c r="M56" s="10"/>
      <c r="N56" s="10"/>
      <c r="O56" s="10" t="s">
        <v>13</v>
      </c>
      <c r="P56" s="8"/>
      <c r="Q56" s="8"/>
      <c r="W56" s="11" t="s">
        <v>13</v>
      </c>
    </row>
    <row r="57" spans="1:23" s="11" customFormat="1" ht="40.5" hidden="1" customHeight="1" x14ac:dyDescent="0.3">
      <c r="A57" s="8" t="s">
        <v>13</v>
      </c>
      <c r="B57" s="9" t="s">
        <v>188</v>
      </c>
      <c r="C57" s="10" t="s">
        <v>189</v>
      </c>
      <c r="D57" s="9" t="s">
        <v>190</v>
      </c>
      <c r="E57" s="10" t="str">
        <f>E26</f>
        <v>AL6061, anode màu đen</v>
      </c>
      <c r="F57" s="10" t="str">
        <f>F26</f>
        <v>GTAM</v>
      </c>
      <c r="G57" s="10" t="s">
        <v>120</v>
      </c>
      <c r="H57" s="10">
        <f t="shared" si="1"/>
        <v>18</v>
      </c>
      <c r="I57" s="10" t="str">
        <f>I56</f>
        <v>đã đặt phôi, có thể làm xong trc 5/4</v>
      </c>
      <c r="J57" s="10"/>
      <c r="K57" s="10"/>
      <c r="L57" s="10"/>
      <c r="M57" s="10"/>
      <c r="N57" s="10"/>
      <c r="O57" s="10" t="s">
        <v>13</v>
      </c>
      <c r="P57" s="8"/>
      <c r="Q57" s="8"/>
      <c r="W57" s="11" t="s">
        <v>13</v>
      </c>
    </row>
    <row r="58" spans="1:23" s="11" customFormat="1" ht="40.5" customHeight="1" x14ac:dyDescent="0.3">
      <c r="A58" s="8" t="s">
        <v>13</v>
      </c>
      <c r="B58" s="9" t="s">
        <v>191</v>
      </c>
      <c r="C58" s="10" t="s">
        <v>15</v>
      </c>
      <c r="D58" s="9" t="s">
        <v>192</v>
      </c>
      <c r="E58" s="10" t="str">
        <f>E34</f>
        <v>SUS304 có điện hóa</v>
      </c>
      <c r="F58" s="10" t="str">
        <f>F34</f>
        <v>CG</v>
      </c>
      <c r="G58" s="10" t="s">
        <v>123</v>
      </c>
      <c r="H58" s="10">
        <f t="shared" si="1"/>
        <v>12</v>
      </c>
      <c r="I58" s="10" t="str">
        <f>I53</f>
        <v>đã chốt làm MAH toàn bộ, có hàng trc 4/4</v>
      </c>
      <c r="J58" s="10"/>
      <c r="K58" s="10"/>
      <c r="L58" s="10"/>
      <c r="M58" s="10"/>
      <c r="N58" s="10"/>
      <c r="O58" s="10" t="s">
        <v>13</v>
      </c>
      <c r="P58" s="8"/>
      <c r="Q58" s="8"/>
      <c r="W58" s="11" t="s">
        <v>13</v>
      </c>
    </row>
    <row r="59" spans="1:23" s="11" customFormat="1" ht="40.5" customHeight="1" x14ac:dyDescent="0.3">
      <c r="A59" s="8" t="s">
        <v>13</v>
      </c>
      <c r="B59" s="9" t="s">
        <v>193</v>
      </c>
      <c r="C59" s="10" t="s">
        <v>21</v>
      </c>
      <c r="D59" s="9" t="s">
        <v>194</v>
      </c>
      <c r="E59" s="10" t="str">
        <f t="shared" ref="E59:F64" si="4">E28</f>
        <v>SUS304 có điện hóa</v>
      </c>
      <c r="F59" s="10" t="str">
        <f t="shared" si="4"/>
        <v>CG</v>
      </c>
      <c r="G59" s="10" t="s">
        <v>126</v>
      </c>
      <c r="H59" s="10">
        <f t="shared" si="1"/>
        <v>24</v>
      </c>
      <c r="I59" s="10" t="str">
        <f>I58</f>
        <v>đã chốt làm MAH toàn bộ, có hàng trc 4/4</v>
      </c>
      <c r="J59" s="10"/>
      <c r="K59" s="10"/>
      <c r="L59" s="10"/>
      <c r="M59" s="10"/>
      <c r="N59" s="10"/>
      <c r="O59" s="10" t="s">
        <v>13</v>
      </c>
      <c r="P59" s="8"/>
      <c r="Q59" s="8"/>
      <c r="W59" s="11" t="s">
        <v>13</v>
      </c>
    </row>
    <row r="60" spans="1:23" s="11" customFormat="1" ht="40.5" hidden="1" customHeight="1" x14ac:dyDescent="0.3">
      <c r="A60" s="8" t="s">
        <v>13</v>
      </c>
      <c r="B60" s="9" t="s">
        <v>20</v>
      </c>
      <c r="C60" s="10" t="s">
        <v>21</v>
      </c>
      <c r="D60" s="9" t="s">
        <v>22</v>
      </c>
      <c r="E60" s="10" t="str">
        <f t="shared" si="4"/>
        <v>belt PU chống tĩnh điện, màu đen, dày 1.5mm, bản rộng 20mm, chu vi 680mm ( đo mép trong 686mm)</v>
      </c>
      <c r="F60" s="10" t="str">
        <f t="shared" si="4"/>
        <v>Yongli</v>
      </c>
      <c r="G60" s="10" t="s">
        <v>19</v>
      </c>
      <c r="H60" s="10">
        <f t="shared" si="1"/>
        <v>24</v>
      </c>
      <c r="I60" s="10" t="str">
        <f>I29</f>
        <v xml:space="preserve">đã nhận hàng  </v>
      </c>
      <c r="J60" s="10"/>
      <c r="K60" s="10"/>
      <c r="L60" s="10"/>
      <c r="M60" s="10"/>
      <c r="N60" s="10"/>
      <c r="O60" s="10" t="s">
        <v>13</v>
      </c>
      <c r="P60" s="8"/>
      <c r="Q60" s="8"/>
      <c r="W60" s="11" t="s">
        <v>13</v>
      </c>
    </row>
    <row r="61" spans="1:23" s="11" customFormat="1" ht="40.5" hidden="1" customHeight="1" x14ac:dyDescent="0.3">
      <c r="A61" s="8" t="s">
        <v>13</v>
      </c>
      <c r="B61" s="9" t="s">
        <v>195</v>
      </c>
      <c r="C61" s="10" t="s">
        <v>15</v>
      </c>
      <c r="D61" s="19" t="s">
        <v>196</v>
      </c>
      <c r="E61" s="10" t="str">
        <f t="shared" si="4"/>
        <v>SUS304 điện hóa/ S45C mạ Nikel</v>
      </c>
      <c r="F61" s="10" t="str">
        <f t="shared" si="4"/>
        <v>TAT</v>
      </c>
      <c r="G61" s="10" t="s">
        <v>129</v>
      </c>
      <c r="H61" s="10">
        <f t="shared" si="1"/>
        <v>12</v>
      </c>
      <c r="I61" s="10" t="str">
        <f>I55</f>
        <v>Ng đã đặt NCC mới cho đủ 84CV</v>
      </c>
      <c r="J61" s="10"/>
      <c r="K61" s="10"/>
      <c r="L61" s="10"/>
      <c r="M61" s="10"/>
      <c r="N61" s="10"/>
      <c r="O61" s="10" t="s">
        <v>13</v>
      </c>
      <c r="P61" s="8"/>
      <c r="Q61" s="8"/>
      <c r="W61" s="11" t="s">
        <v>13</v>
      </c>
    </row>
    <row r="62" spans="1:23" s="11" customFormat="1" ht="40.5" hidden="1" customHeight="1" x14ac:dyDescent="0.3">
      <c r="A62" s="8" t="s">
        <v>13</v>
      </c>
      <c r="B62" s="9" t="s">
        <v>197</v>
      </c>
      <c r="C62" s="10" t="s">
        <v>21</v>
      </c>
      <c r="D62" s="9" t="s">
        <v>198</v>
      </c>
      <c r="E62" s="10" t="str">
        <f t="shared" si="4"/>
        <v>Phanh trục STWN8</v>
      </c>
      <c r="F62" s="10" t="str">
        <f t="shared" si="4"/>
        <v>PT- Phanh trục</v>
      </c>
      <c r="G62" s="10" t="s">
        <v>133</v>
      </c>
      <c r="H62" s="10">
        <f t="shared" si="1"/>
        <v>24</v>
      </c>
      <c r="I62" s="10" t="str">
        <f>I31</f>
        <v>tồn kho sẵn</v>
      </c>
      <c r="J62" s="10"/>
      <c r="K62" s="10"/>
      <c r="L62" s="10"/>
      <c r="M62" s="10"/>
      <c r="N62" s="10"/>
      <c r="O62" s="10" t="s">
        <v>13</v>
      </c>
      <c r="P62" s="8"/>
      <c r="Q62" s="8"/>
      <c r="W62" s="11" t="s">
        <v>13</v>
      </c>
    </row>
    <row r="63" spans="1:23" s="11" customFormat="1" ht="40.5" hidden="1" customHeight="1" x14ac:dyDescent="0.3">
      <c r="A63" s="8" t="s">
        <v>13</v>
      </c>
      <c r="B63" s="9" t="s">
        <v>199</v>
      </c>
      <c r="C63" s="10" t="s">
        <v>21</v>
      </c>
      <c r="D63" s="9" t="s">
        <v>200</v>
      </c>
      <c r="E63" s="10" t="str">
        <f t="shared" si="4"/>
        <v>AL6061, anode màu đen</v>
      </c>
      <c r="F63" s="10" t="str">
        <f t="shared" si="4"/>
        <v>GTAM</v>
      </c>
      <c r="G63" s="10" t="s">
        <v>136</v>
      </c>
      <c r="H63" s="10">
        <f t="shared" si="1"/>
        <v>24</v>
      </c>
      <c r="I63" s="10" t="str">
        <f>I57</f>
        <v>đã đặt phôi, có thể làm xong trc 5/4</v>
      </c>
      <c r="J63" s="10"/>
      <c r="K63" s="10"/>
      <c r="L63" s="10"/>
      <c r="M63" s="10"/>
      <c r="N63" s="10"/>
      <c r="O63" s="10" t="s">
        <v>13</v>
      </c>
      <c r="P63" s="8"/>
      <c r="Q63" s="8"/>
      <c r="W63" s="11" t="s">
        <v>13</v>
      </c>
    </row>
    <row r="64" spans="1:23" s="11" customFormat="1" ht="40.5" hidden="1" customHeight="1" x14ac:dyDescent="0.3">
      <c r="A64" s="8" t="s">
        <v>13</v>
      </c>
      <c r="B64" s="9" t="s">
        <v>201</v>
      </c>
      <c r="C64" s="10" t="s">
        <v>21</v>
      </c>
      <c r="D64" s="9" t="s">
        <v>202</v>
      </c>
      <c r="E64" s="10" t="str">
        <f t="shared" si="4"/>
        <v>B6000ZZ</v>
      </c>
      <c r="F64" s="10" t="str">
        <f t="shared" si="4"/>
        <v>VB</v>
      </c>
      <c r="G64" s="10" t="s">
        <v>140</v>
      </c>
      <c r="H64" s="10">
        <f t="shared" si="1"/>
        <v>24</v>
      </c>
      <c r="I64" s="10" t="s">
        <v>815</v>
      </c>
      <c r="J64" s="10"/>
      <c r="K64" s="10"/>
      <c r="L64" s="10"/>
      <c r="M64" s="10"/>
      <c r="N64" s="10"/>
      <c r="O64" s="10" t="s">
        <v>13</v>
      </c>
      <c r="P64" s="8"/>
      <c r="Q64" s="8"/>
      <c r="W64" s="11" t="s">
        <v>13</v>
      </c>
    </row>
    <row r="65" spans="1:23" s="11" customFormat="1" ht="40.5" customHeight="1" x14ac:dyDescent="0.3">
      <c r="A65" s="8" t="s">
        <v>13</v>
      </c>
      <c r="B65" s="9" t="s">
        <v>203</v>
      </c>
      <c r="C65" s="10" t="s">
        <v>15</v>
      </c>
      <c r="D65" s="9" t="s">
        <v>204</v>
      </c>
      <c r="E65" s="10" t="str">
        <f>E58</f>
        <v>SUS304 có điện hóa</v>
      </c>
      <c r="F65" s="10" t="str">
        <f>F58</f>
        <v>CG</v>
      </c>
      <c r="G65" s="10" t="s">
        <v>123</v>
      </c>
      <c r="H65" s="10">
        <f t="shared" si="1"/>
        <v>12</v>
      </c>
      <c r="I65" s="10" t="str">
        <f>I59</f>
        <v>đã chốt làm MAH toàn bộ, có hàng trc 4/4</v>
      </c>
      <c r="J65" s="10"/>
      <c r="K65" s="10"/>
      <c r="L65" s="10"/>
      <c r="M65" s="10"/>
      <c r="N65" s="10"/>
      <c r="O65" s="10" t="s">
        <v>13</v>
      </c>
      <c r="P65" s="8"/>
      <c r="Q65" s="8"/>
      <c r="W65" s="11" t="s">
        <v>13</v>
      </c>
    </row>
    <row r="66" spans="1:23" s="11" customFormat="1" ht="40.5" hidden="1" customHeight="1" x14ac:dyDescent="0.3">
      <c r="A66" s="8" t="s">
        <v>13</v>
      </c>
      <c r="B66" s="9" t="s">
        <v>205</v>
      </c>
      <c r="C66" s="10" t="s">
        <v>15</v>
      </c>
      <c r="D66" s="9" t="s">
        <v>206</v>
      </c>
      <c r="E66" s="10" t="str">
        <f>E56</f>
        <v>AL6061, anode màu đen</v>
      </c>
      <c r="F66" s="10" t="str">
        <f>F56</f>
        <v>GTAM</v>
      </c>
      <c r="G66" s="10" t="s">
        <v>117</v>
      </c>
      <c r="H66" s="10">
        <f t="shared" si="1"/>
        <v>12</v>
      </c>
      <c r="I66" s="10" t="str">
        <f>I63</f>
        <v>đã đặt phôi, có thể làm xong trc 5/4</v>
      </c>
      <c r="J66" s="10"/>
      <c r="K66" s="10"/>
      <c r="L66" s="10"/>
      <c r="M66" s="10"/>
      <c r="N66" s="10"/>
      <c r="O66" s="10" t="s">
        <v>13</v>
      </c>
      <c r="P66" s="8"/>
      <c r="Q66" s="8"/>
      <c r="W66" s="11" t="s">
        <v>13</v>
      </c>
    </row>
    <row r="67" spans="1:23" s="11" customFormat="1" ht="40.5" hidden="1" customHeight="1" x14ac:dyDescent="0.3">
      <c r="A67" s="8" t="s">
        <v>13</v>
      </c>
      <c r="B67" s="9" t="s">
        <v>207</v>
      </c>
      <c r="C67" s="10" t="s">
        <v>15</v>
      </c>
      <c r="D67" s="9" t="s">
        <v>208</v>
      </c>
      <c r="E67" s="10" t="str">
        <f t="shared" ref="E67:F69" si="5">E36</f>
        <v>AL6061, anode màu đen</v>
      </c>
      <c r="F67" s="10" t="str">
        <f t="shared" si="5"/>
        <v>GTAM</v>
      </c>
      <c r="G67" s="10" t="s">
        <v>42</v>
      </c>
      <c r="H67" s="10">
        <f t="shared" si="1"/>
        <v>12</v>
      </c>
      <c r="I67" s="10" t="str">
        <f>I66</f>
        <v>đã đặt phôi, có thể làm xong trc 5/4</v>
      </c>
      <c r="J67" s="10"/>
      <c r="K67" s="10"/>
      <c r="L67" s="10"/>
      <c r="M67" s="10"/>
      <c r="N67" s="10"/>
      <c r="O67" s="10" t="s">
        <v>13</v>
      </c>
      <c r="P67" s="8"/>
      <c r="Q67" s="8"/>
      <c r="W67" s="11" t="s">
        <v>13</v>
      </c>
    </row>
    <row r="68" spans="1:23" s="11" customFormat="1" ht="40.5" hidden="1" customHeight="1" x14ac:dyDescent="0.3">
      <c r="A68" s="8" t="s">
        <v>13</v>
      </c>
      <c r="B68" s="9" t="s">
        <v>209</v>
      </c>
      <c r="C68" s="10" t="s">
        <v>15</v>
      </c>
      <c r="D68" s="9" t="s">
        <v>210</v>
      </c>
      <c r="E68" s="10" t="str">
        <f t="shared" si="5"/>
        <v>AL6061, anode màu đen</v>
      </c>
      <c r="F68" s="10" t="str">
        <f t="shared" si="5"/>
        <v>GTAM</v>
      </c>
      <c r="G68" s="10" t="s">
        <v>45</v>
      </c>
      <c r="H68" s="10">
        <f t="shared" ref="H68:H99" si="6">C68*$H$1</f>
        <v>12</v>
      </c>
      <c r="I68" s="10" t="str">
        <f>I67</f>
        <v>đã đặt phôi, có thể làm xong trc 5/4</v>
      </c>
      <c r="J68" s="10"/>
      <c r="K68" s="10"/>
      <c r="L68" s="10"/>
      <c r="M68" s="10"/>
      <c r="N68" s="10"/>
      <c r="O68" s="10" t="s">
        <v>13</v>
      </c>
      <c r="P68" s="8"/>
      <c r="Q68" s="8"/>
      <c r="W68" s="11" t="s">
        <v>13</v>
      </c>
    </row>
    <row r="69" spans="1:23" s="11" customFormat="1" ht="40.5" hidden="1" customHeight="1" x14ac:dyDescent="0.3">
      <c r="A69" s="8" t="s">
        <v>13</v>
      </c>
      <c r="B69" s="9" t="s">
        <v>211</v>
      </c>
      <c r="C69" s="10" t="s">
        <v>47</v>
      </c>
      <c r="D69" s="9" t="s">
        <v>212</v>
      </c>
      <c r="E69" s="10" t="str">
        <f t="shared" si="5"/>
        <v>AL6061, anode màu đen</v>
      </c>
      <c r="F69" s="10" t="str">
        <f t="shared" si="5"/>
        <v>GTAM</v>
      </c>
      <c r="G69" s="10" t="s">
        <v>49</v>
      </c>
      <c r="H69" s="10">
        <f t="shared" si="6"/>
        <v>6</v>
      </c>
      <c r="I69" s="10" t="str">
        <f>I68</f>
        <v>đã đặt phôi, có thể làm xong trc 5/4</v>
      </c>
      <c r="J69" s="10"/>
      <c r="K69" s="10"/>
      <c r="L69" s="10"/>
      <c r="M69" s="10"/>
      <c r="N69" s="10"/>
      <c r="O69" s="10" t="s">
        <v>13</v>
      </c>
      <c r="P69" s="8"/>
      <c r="Q69" s="8"/>
      <c r="W69" s="11" t="s">
        <v>13</v>
      </c>
    </row>
    <row r="70" spans="1:23" s="11" customFormat="1" ht="40.5" hidden="1" customHeight="1" x14ac:dyDescent="0.3">
      <c r="A70" s="8" t="s">
        <v>13</v>
      </c>
      <c r="B70" s="9" t="s">
        <v>213</v>
      </c>
      <c r="C70" s="10" t="s">
        <v>15</v>
      </c>
      <c r="D70" s="9" t="s">
        <v>214</v>
      </c>
      <c r="E70" s="10" t="str">
        <f>E7</f>
        <v>SUS304 điện hóa/ S45C mạ Nikel, có lăn nhám</v>
      </c>
      <c r="F70" s="10" t="str">
        <f>F55</f>
        <v>TAT</v>
      </c>
      <c r="G70" s="10" t="s">
        <v>56</v>
      </c>
      <c r="H70" s="10">
        <f t="shared" si="6"/>
        <v>12</v>
      </c>
      <c r="I70" s="10" t="str">
        <f>I61</f>
        <v>Ng đã đặt NCC mới cho đủ 84CV</v>
      </c>
      <c r="J70" s="10"/>
      <c r="K70" s="10"/>
      <c r="L70" s="10"/>
      <c r="M70" s="10"/>
      <c r="N70" s="10"/>
      <c r="O70" s="10" t="s">
        <v>13</v>
      </c>
      <c r="P70" s="8"/>
      <c r="Q70" s="8"/>
      <c r="W70" s="11" t="s">
        <v>13</v>
      </c>
    </row>
    <row r="71" spans="1:23" s="11" customFormat="1" ht="40.5" hidden="1" customHeight="1" x14ac:dyDescent="0.3">
      <c r="A71" s="8" t="s">
        <v>13</v>
      </c>
      <c r="B71" s="9" t="s">
        <v>215</v>
      </c>
      <c r="C71" s="10" t="s">
        <v>21</v>
      </c>
      <c r="D71" s="9" t="s">
        <v>216</v>
      </c>
      <c r="E71" s="10" t="str">
        <f>E40</f>
        <v>vòng bi 688AZZ</v>
      </c>
      <c r="F71" s="10" t="str">
        <f>F40</f>
        <v>VB</v>
      </c>
      <c r="G71" s="10" t="s">
        <v>60</v>
      </c>
      <c r="H71" s="10">
        <f t="shared" si="6"/>
        <v>24</v>
      </c>
      <c r="I71" s="10" t="str">
        <f>I64</f>
        <v>hàng đã về</v>
      </c>
      <c r="J71" s="10"/>
      <c r="K71" s="10"/>
      <c r="L71" s="10"/>
      <c r="M71" s="10"/>
      <c r="N71" s="10"/>
      <c r="O71" s="10" t="s">
        <v>13</v>
      </c>
      <c r="P71" s="8"/>
      <c r="Q71" s="8"/>
      <c r="W71" s="11" t="s">
        <v>13</v>
      </c>
    </row>
    <row r="72" spans="1:23" s="11" customFormat="1" ht="40.5" hidden="1" customHeight="1" x14ac:dyDescent="0.3">
      <c r="A72" s="8" t="s">
        <v>13</v>
      </c>
      <c r="B72" s="9" t="s">
        <v>217</v>
      </c>
      <c r="C72" s="10" t="s">
        <v>47</v>
      </c>
      <c r="D72" s="9" t="s">
        <v>218</v>
      </c>
      <c r="E72" s="10" t="str">
        <f t="shared" ref="E72:F76" si="7">E49</f>
        <v>AL6061, anode màu đen</v>
      </c>
      <c r="F72" s="10" t="str">
        <f t="shared" si="7"/>
        <v>GTAM</v>
      </c>
      <c r="G72" s="10" t="s">
        <v>93</v>
      </c>
      <c r="H72" s="10">
        <f t="shared" si="6"/>
        <v>6</v>
      </c>
      <c r="I72" s="10" t="str">
        <f>I69</f>
        <v>đã đặt phôi, có thể làm xong trc 5/4</v>
      </c>
      <c r="J72" s="10"/>
      <c r="K72" s="10"/>
      <c r="L72" s="10"/>
      <c r="M72" s="10"/>
      <c r="N72" s="10"/>
      <c r="O72" s="10" t="s">
        <v>13</v>
      </c>
      <c r="P72" s="8"/>
      <c r="Q72" s="8"/>
      <c r="W72" s="11" t="s">
        <v>13</v>
      </c>
    </row>
    <row r="73" spans="1:23" s="11" customFormat="1" ht="40.5" hidden="1" customHeight="1" x14ac:dyDescent="0.3">
      <c r="A73" s="8" t="s">
        <v>13</v>
      </c>
      <c r="B73" s="9" t="s">
        <v>219</v>
      </c>
      <c r="C73" s="10" t="s">
        <v>47</v>
      </c>
      <c r="D73" s="9" t="s">
        <v>220</v>
      </c>
      <c r="E73" s="10" t="str">
        <f t="shared" si="7"/>
        <v>AL6061, anode màu đen</v>
      </c>
      <c r="F73" s="10" t="str">
        <f t="shared" si="7"/>
        <v>GTAM</v>
      </c>
      <c r="G73" s="10" t="s">
        <v>96</v>
      </c>
      <c r="H73" s="10">
        <f t="shared" si="6"/>
        <v>6</v>
      </c>
      <c r="I73" s="10" t="str">
        <f>I72</f>
        <v>đã đặt phôi, có thể làm xong trc 5/4</v>
      </c>
      <c r="J73" s="10"/>
      <c r="K73" s="10"/>
      <c r="L73" s="10"/>
      <c r="M73" s="10"/>
      <c r="N73" s="10"/>
      <c r="O73" s="10" t="s">
        <v>13</v>
      </c>
      <c r="P73" s="8"/>
      <c r="Q73" s="8"/>
      <c r="W73" s="11" t="s">
        <v>13</v>
      </c>
    </row>
    <row r="74" spans="1:23" s="11" customFormat="1" ht="40.5" customHeight="1" x14ac:dyDescent="0.3">
      <c r="A74" s="8" t="s">
        <v>13</v>
      </c>
      <c r="B74" s="9" t="s">
        <v>221</v>
      </c>
      <c r="C74" s="10" t="s">
        <v>47</v>
      </c>
      <c r="D74" s="9" t="s">
        <v>222</v>
      </c>
      <c r="E74" s="10" t="str">
        <f t="shared" si="7"/>
        <v>SUS304 có điện hóa</v>
      </c>
      <c r="F74" s="10" t="str">
        <f t="shared" si="7"/>
        <v>CG</v>
      </c>
      <c r="G74" s="10" t="s">
        <v>99</v>
      </c>
      <c r="H74" s="10">
        <f t="shared" si="6"/>
        <v>6</v>
      </c>
      <c r="I74" s="10" t="str">
        <f>I65</f>
        <v>đã chốt làm MAH toàn bộ, có hàng trc 4/4</v>
      </c>
      <c r="J74" s="10"/>
      <c r="K74" s="10"/>
      <c r="L74" s="10"/>
      <c r="M74" s="10"/>
      <c r="N74" s="10"/>
      <c r="O74" s="10" t="s">
        <v>13</v>
      </c>
      <c r="P74" s="8"/>
      <c r="Q74" s="8"/>
      <c r="W74" s="11" t="s">
        <v>13</v>
      </c>
    </row>
    <row r="75" spans="1:23" s="11" customFormat="1" ht="40.5" hidden="1" customHeight="1" x14ac:dyDescent="0.3">
      <c r="A75" s="8" t="s">
        <v>13</v>
      </c>
      <c r="B75" s="9" t="s">
        <v>223</v>
      </c>
      <c r="C75" s="10" t="s">
        <v>47</v>
      </c>
      <c r="D75" s="9" t="s">
        <v>224</v>
      </c>
      <c r="E75" s="10" t="str">
        <f t="shared" si="7"/>
        <v>AL6061, anode màu đen</v>
      </c>
      <c r="F75" s="10" t="str">
        <f t="shared" si="7"/>
        <v>GTAM</v>
      </c>
      <c r="G75" s="10" t="s">
        <v>102</v>
      </c>
      <c r="H75" s="10">
        <f t="shared" si="6"/>
        <v>6</v>
      </c>
      <c r="I75" s="10" t="str">
        <f>I73</f>
        <v>đã đặt phôi, có thể làm xong trc 5/4</v>
      </c>
      <c r="J75" s="10"/>
      <c r="K75" s="10"/>
      <c r="L75" s="10"/>
      <c r="M75" s="10"/>
      <c r="N75" s="10"/>
      <c r="O75" s="10" t="s">
        <v>13</v>
      </c>
      <c r="P75" s="8"/>
      <c r="Q75" s="8"/>
      <c r="W75" s="11" t="s">
        <v>13</v>
      </c>
    </row>
    <row r="76" spans="1:23" s="11" customFormat="1" ht="40.5" customHeight="1" x14ac:dyDescent="0.3">
      <c r="A76" s="8" t="s">
        <v>13</v>
      </c>
      <c r="B76" s="9" t="s">
        <v>225</v>
      </c>
      <c r="C76" s="10" t="s">
        <v>47</v>
      </c>
      <c r="D76" s="9" t="s">
        <v>226</v>
      </c>
      <c r="E76" s="10" t="str">
        <f t="shared" si="7"/>
        <v>SUS304 có điện hóa</v>
      </c>
      <c r="F76" s="10" t="str">
        <f t="shared" si="7"/>
        <v>CG</v>
      </c>
      <c r="G76" s="10" t="s">
        <v>105</v>
      </c>
      <c r="H76" s="10">
        <f t="shared" si="6"/>
        <v>6</v>
      </c>
      <c r="I76" s="10" t="str">
        <f>I65</f>
        <v>đã chốt làm MAH toàn bộ, có hàng trc 4/4</v>
      </c>
      <c r="J76" s="10"/>
      <c r="K76" s="10"/>
      <c r="L76" s="10"/>
      <c r="M76" s="10"/>
      <c r="N76" s="10"/>
      <c r="O76" s="10" t="s">
        <v>13</v>
      </c>
      <c r="P76" s="8"/>
      <c r="Q76" s="8"/>
      <c r="W76" s="11" t="s">
        <v>13</v>
      </c>
    </row>
    <row r="77" spans="1:23" s="11" customFormat="1" ht="40.5" hidden="1" customHeight="1" x14ac:dyDescent="0.3">
      <c r="A77" s="8" t="s">
        <v>13</v>
      </c>
      <c r="B77" s="9" t="s">
        <v>227</v>
      </c>
      <c r="C77" s="10" t="s">
        <v>47</v>
      </c>
      <c r="D77" s="9" t="s">
        <v>228</v>
      </c>
      <c r="E77" s="10" t="str">
        <f>E46</f>
        <v>động cơ S6I06GX-V12/ bộ điều khiển tốc độ đi kèm</v>
      </c>
      <c r="F77" s="10" t="str">
        <f>F46</f>
        <v>SPG</v>
      </c>
      <c r="G77" s="10" t="s">
        <v>64</v>
      </c>
      <c r="H77" s="10">
        <f t="shared" si="6"/>
        <v>6</v>
      </c>
      <c r="I77" s="10" t="str">
        <f>I47</f>
        <v>đã báo đặt hàng</v>
      </c>
      <c r="J77" s="10"/>
      <c r="K77" s="10"/>
      <c r="L77" s="10"/>
      <c r="M77" s="10"/>
      <c r="N77" s="10"/>
      <c r="O77" s="10" t="s">
        <v>13</v>
      </c>
      <c r="P77" s="8"/>
      <c r="Q77" s="8"/>
      <c r="W77" s="11" t="s">
        <v>13</v>
      </c>
    </row>
    <row r="78" spans="1:23" s="11" customFormat="1" ht="40.5" hidden="1" customHeight="1" x14ac:dyDescent="0.3">
      <c r="A78" s="8" t="s">
        <v>13</v>
      </c>
      <c r="B78" s="9" t="s">
        <v>229</v>
      </c>
      <c r="C78" s="10" t="s">
        <v>47</v>
      </c>
      <c r="D78" s="9" t="s">
        <v>230</v>
      </c>
      <c r="E78" s="10" t="str">
        <f>E47</f>
        <v>kiu</v>
      </c>
      <c r="F78" s="10" t="str">
        <f>F47</f>
        <v>SPG</v>
      </c>
      <c r="G78" s="10" t="s">
        <v>68</v>
      </c>
      <c r="H78" s="10">
        <f t="shared" si="6"/>
        <v>6</v>
      </c>
      <c r="I78" s="10" t="str">
        <f>I77</f>
        <v>đã báo đặt hàng</v>
      </c>
      <c r="J78" s="10"/>
      <c r="K78" s="10"/>
      <c r="L78" s="10"/>
      <c r="M78" s="10"/>
      <c r="N78" s="10"/>
      <c r="O78" s="10" t="s">
        <v>13</v>
      </c>
      <c r="P78" s="8"/>
      <c r="Q78" s="8"/>
      <c r="W78" s="11" t="s">
        <v>13</v>
      </c>
    </row>
    <row r="79" spans="1:23" s="11" customFormat="1" ht="40.5" hidden="1" customHeight="1" x14ac:dyDescent="0.3">
      <c r="A79" s="8" t="s">
        <v>13</v>
      </c>
      <c r="B79" s="9" t="s">
        <v>231</v>
      </c>
      <c r="C79" s="10" t="s">
        <v>15</v>
      </c>
      <c r="D79" s="9" t="s">
        <v>232</v>
      </c>
      <c r="E79" s="9" t="s">
        <v>71</v>
      </c>
      <c r="F79" s="10" t="str">
        <f>F43</f>
        <v>UP</v>
      </c>
      <c r="G79" s="10" t="s">
        <v>72</v>
      </c>
      <c r="H79" s="10">
        <f t="shared" si="6"/>
        <v>12</v>
      </c>
      <c r="I79" s="10" t="str">
        <f>I43</f>
        <v>đã nhận hàng 30/3</v>
      </c>
      <c r="J79" s="10"/>
      <c r="K79" s="10"/>
      <c r="L79" s="10"/>
      <c r="M79" s="10"/>
      <c r="N79" s="10"/>
      <c r="O79" s="10" t="s">
        <v>13</v>
      </c>
      <c r="P79" s="8"/>
      <c r="Q79" s="8"/>
      <c r="W79" s="11" t="s">
        <v>13</v>
      </c>
    </row>
    <row r="80" spans="1:23" s="11" customFormat="1" ht="40.5" hidden="1" customHeight="1" x14ac:dyDescent="0.3">
      <c r="A80" s="8" t="s">
        <v>13</v>
      </c>
      <c r="B80" s="9" t="s">
        <v>233</v>
      </c>
      <c r="C80" s="10" t="s">
        <v>15</v>
      </c>
      <c r="D80" s="9" t="s">
        <v>234</v>
      </c>
      <c r="E80" s="10" t="str">
        <f>E44</f>
        <v>chốt cài KES3-12</v>
      </c>
      <c r="F80" s="10" t="str">
        <f>F44</f>
        <v>Then cài</v>
      </c>
      <c r="G80" s="10" t="s">
        <v>76</v>
      </c>
      <c r="H80" s="10">
        <f t="shared" si="6"/>
        <v>12</v>
      </c>
      <c r="I80" s="10" t="str">
        <f>I44</f>
        <v>đã tồn kho sẵn</v>
      </c>
      <c r="J80" s="10"/>
      <c r="K80" s="10"/>
      <c r="L80" s="10"/>
      <c r="M80" s="10"/>
      <c r="N80" s="10"/>
      <c r="O80" s="10" t="s">
        <v>13</v>
      </c>
      <c r="P80" s="8"/>
      <c r="Q80" s="8"/>
      <c r="W80" s="11" t="s">
        <v>13</v>
      </c>
    </row>
    <row r="81" spans="1:23" s="11" customFormat="1" ht="40.5" customHeight="1" x14ac:dyDescent="0.3">
      <c r="A81" s="8" t="s">
        <v>13</v>
      </c>
      <c r="B81" s="9" t="s">
        <v>235</v>
      </c>
      <c r="C81" s="10" t="s">
        <v>47</v>
      </c>
      <c r="D81" s="9" t="s">
        <v>236</v>
      </c>
      <c r="E81" s="10" t="str">
        <f>E41</f>
        <v>SUS304 có điện hóa</v>
      </c>
      <c r="F81" s="10" t="str">
        <f>F41</f>
        <v>CG</v>
      </c>
      <c r="G81" s="10" t="s">
        <v>80</v>
      </c>
      <c r="H81" s="10">
        <f t="shared" si="6"/>
        <v>6</v>
      </c>
      <c r="I81" s="10" t="str">
        <f>I76</f>
        <v>đã chốt làm MAH toàn bộ, có hàng trc 4/4</v>
      </c>
      <c r="J81" s="10"/>
      <c r="K81" s="10"/>
      <c r="L81" s="10"/>
      <c r="M81" s="10"/>
      <c r="N81" s="10"/>
      <c r="O81" s="10" t="s">
        <v>13</v>
      </c>
      <c r="P81" s="8"/>
      <c r="Q81" s="8"/>
      <c r="W81" s="11" t="s">
        <v>13</v>
      </c>
    </row>
    <row r="82" spans="1:23" s="11" customFormat="1" ht="40.5" hidden="1" customHeight="1" x14ac:dyDescent="0.3">
      <c r="A82" s="8" t="s">
        <v>13</v>
      </c>
      <c r="B82" s="9" t="s">
        <v>237</v>
      </c>
      <c r="C82" s="10" t="s">
        <v>47</v>
      </c>
      <c r="D82" s="9" t="s">
        <v>238</v>
      </c>
      <c r="E82" s="9" t="str">
        <f>E45</f>
        <v xml:space="preserve">HTBN225S3M-150 --&gt; đổi sang C-HTBN225S3M-150 </v>
      </c>
      <c r="F82" s="10" t="str">
        <f>F45</f>
        <v>MI</v>
      </c>
      <c r="G82" s="10" t="s">
        <v>83</v>
      </c>
      <c r="H82" s="10">
        <f t="shared" si="6"/>
        <v>6</v>
      </c>
      <c r="I82" s="10" t="str">
        <f>I45</f>
        <v>31/3 và 3/4 nhận đủ hàng</v>
      </c>
      <c r="J82" s="10"/>
      <c r="K82" s="10"/>
      <c r="L82" s="10"/>
      <c r="M82" s="10"/>
      <c r="N82" s="10"/>
      <c r="O82" s="10" t="s">
        <v>13</v>
      </c>
      <c r="P82" s="8"/>
      <c r="Q82" s="8"/>
      <c r="W82" s="11" t="s">
        <v>13</v>
      </c>
    </row>
    <row r="83" spans="1:23" s="11" customFormat="1" ht="40.5" hidden="1" customHeight="1" x14ac:dyDescent="0.3">
      <c r="A83" s="8" t="s">
        <v>13</v>
      </c>
      <c r="B83" s="9" t="s">
        <v>239</v>
      </c>
      <c r="C83" s="10" t="s">
        <v>47</v>
      </c>
      <c r="D83" s="9" t="s">
        <v>240</v>
      </c>
      <c r="E83" s="10" t="str">
        <f>E42</f>
        <v>Mica trong</v>
      </c>
      <c r="F83" s="10" t="str">
        <f>F42</f>
        <v>GTAM</v>
      </c>
      <c r="G83" s="10" t="s">
        <v>87</v>
      </c>
      <c r="H83" s="10">
        <f t="shared" si="6"/>
        <v>6</v>
      </c>
      <c r="I83" s="10" t="str">
        <f>I75</f>
        <v>đã đặt phôi, có thể làm xong trc 5/4</v>
      </c>
      <c r="J83" s="10"/>
      <c r="K83" s="10"/>
      <c r="L83" s="10"/>
      <c r="M83" s="10"/>
      <c r="N83" s="10"/>
      <c r="O83" s="10" t="s">
        <v>13</v>
      </c>
      <c r="P83" s="8"/>
      <c r="Q83" s="8"/>
      <c r="W83" s="11" t="s">
        <v>13</v>
      </c>
    </row>
    <row r="84" spans="1:23" s="11" customFormat="1" ht="40.5" hidden="1" customHeight="1" x14ac:dyDescent="0.3">
      <c r="A84" s="8" t="s">
        <v>13</v>
      </c>
      <c r="B84" s="9" t="s">
        <v>241</v>
      </c>
      <c r="C84" s="10" t="s">
        <v>47</v>
      </c>
      <c r="D84" s="9" t="s">
        <v>242</v>
      </c>
      <c r="E84" s="10" t="str">
        <f>E48</f>
        <v>AL6061, anode màu đen</v>
      </c>
      <c r="F84" s="10" t="str">
        <f>F48</f>
        <v>GTAM</v>
      </c>
      <c r="G84" s="10" t="s">
        <v>90</v>
      </c>
      <c r="H84" s="10">
        <f t="shared" si="6"/>
        <v>6</v>
      </c>
      <c r="I84" s="10" t="str">
        <f>I83</f>
        <v>đã đặt phôi, có thể làm xong trc 5/4</v>
      </c>
      <c r="J84" s="10"/>
      <c r="K84" s="10"/>
      <c r="L84" s="10"/>
      <c r="M84" s="10"/>
      <c r="N84" s="10"/>
      <c r="O84" s="10" t="s">
        <v>13</v>
      </c>
      <c r="P84" s="8"/>
      <c r="Q84" s="8"/>
      <c r="W84" s="11" t="s">
        <v>13</v>
      </c>
    </row>
    <row r="85" spans="1:23" s="11" customFormat="1" ht="40.5" hidden="1" customHeight="1" x14ac:dyDescent="0.3">
      <c r="A85" s="8" t="s">
        <v>13</v>
      </c>
      <c r="B85" s="9" t="s">
        <v>243</v>
      </c>
      <c r="C85" s="10" t="s">
        <v>47</v>
      </c>
      <c r="D85" s="9" t="s">
        <v>244</v>
      </c>
      <c r="E85" s="10" t="str">
        <f>E22</f>
        <v>AL6061, anode màu đen</v>
      </c>
      <c r="F85" s="10" t="str">
        <f>F22</f>
        <v>GTAM</v>
      </c>
      <c r="G85" s="10" t="s">
        <v>108</v>
      </c>
      <c r="H85" s="10">
        <f t="shared" si="6"/>
        <v>6</v>
      </c>
      <c r="I85" s="10" t="str">
        <f>I84</f>
        <v>đã đặt phôi, có thể làm xong trc 5/4</v>
      </c>
      <c r="J85" s="10"/>
      <c r="K85" s="10"/>
      <c r="L85" s="10"/>
      <c r="M85" s="10"/>
      <c r="N85" s="10"/>
      <c r="O85" s="10" t="s">
        <v>13</v>
      </c>
      <c r="P85" s="8"/>
      <c r="Q85" s="8"/>
      <c r="W85" s="11" t="s">
        <v>13</v>
      </c>
    </row>
    <row r="86" spans="1:23" s="11" customFormat="1" ht="40.5" hidden="1" customHeight="1" x14ac:dyDescent="0.3">
      <c r="A86" s="8" t="s">
        <v>13</v>
      </c>
      <c r="B86" s="9" t="s">
        <v>245</v>
      </c>
      <c r="C86" s="10" t="s">
        <v>47</v>
      </c>
      <c r="D86" s="19" t="s">
        <v>246</v>
      </c>
      <c r="E86" s="10" t="str">
        <f>E54</f>
        <v>SUS304 điện hóa/ S45C mạ Nikel</v>
      </c>
      <c r="F86" s="10" t="str">
        <f>F54</f>
        <v>TAT</v>
      </c>
      <c r="G86" s="10" t="s">
        <v>112</v>
      </c>
      <c r="H86" s="10">
        <f t="shared" si="6"/>
        <v>6</v>
      </c>
      <c r="I86" s="10" t="str">
        <f>I70</f>
        <v>Ng đã đặt NCC mới cho đủ 84CV</v>
      </c>
      <c r="J86" s="10"/>
      <c r="K86" s="10"/>
      <c r="L86" s="10"/>
      <c r="M86" s="10"/>
      <c r="N86" s="10"/>
      <c r="O86" s="10" t="s">
        <v>13</v>
      </c>
      <c r="P86" s="8"/>
      <c r="Q86" s="8"/>
      <c r="W86" s="11" t="s">
        <v>13</v>
      </c>
    </row>
    <row r="87" spans="1:23" s="11" customFormat="1" ht="40.5" hidden="1" customHeight="1" x14ac:dyDescent="0.3">
      <c r="A87" s="8" t="s">
        <v>13</v>
      </c>
      <c r="B87" s="9" t="s">
        <v>247</v>
      </c>
      <c r="C87" s="10" t="s">
        <v>15</v>
      </c>
      <c r="D87" s="9" t="s">
        <v>248</v>
      </c>
      <c r="E87" s="10" t="str">
        <f>E86</f>
        <v>SUS304 điện hóa/ S45C mạ Nikel</v>
      </c>
      <c r="F87" s="10" t="str">
        <f>F70</f>
        <v>TAT</v>
      </c>
      <c r="G87" s="10" t="s">
        <v>56</v>
      </c>
      <c r="H87" s="10">
        <f t="shared" si="6"/>
        <v>12</v>
      </c>
      <c r="I87" s="10" t="str">
        <f>I86</f>
        <v>Ng đã đặt NCC mới cho đủ 84CV</v>
      </c>
      <c r="J87" s="10"/>
      <c r="K87" s="10"/>
      <c r="L87" s="10"/>
      <c r="M87" s="10"/>
      <c r="N87" s="10"/>
      <c r="O87" s="10" t="s">
        <v>13</v>
      </c>
      <c r="P87" s="8"/>
      <c r="Q87" s="8"/>
      <c r="W87" s="11" t="s">
        <v>13</v>
      </c>
    </row>
    <row r="88" spans="1:23" s="11" customFormat="1" ht="40.5" hidden="1" customHeight="1" x14ac:dyDescent="0.3">
      <c r="A88" s="8" t="s">
        <v>13</v>
      </c>
      <c r="B88" s="9" t="s">
        <v>249</v>
      </c>
      <c r="C88" s="10" t="s">
        <v>47</v>
      </c>
      <c r="D88" s="9" t="s">
        <v>250</v>
      </c>
      <c r="E88" s="10" t="str">
        <f>E66</f>
        <v>AL6061, anode màu đen</v>
      </c>
      <c r="F88" s="10" t="str">
        <f>F66</f>
        <v>GTAM</v>
      </c>
      <c r="G88" s="10" t="s">
        <v>117</v>
      </c>
      <c r="H88" s="10">
        <f t="shared" si="6"/>
        <v>6</v>
      </c>
      <c r="I88" s="10" t="str">
        <f>I85</f>
        <v>đã đặt phôi, có thể làm xong trc 5/4</v>
      </c>
      <c r="J88" s="10"/>
      <c r="K88" s="10"/>
      <c r="L88" s="10"/>
      <c r="M88" s="10"/>
      <c r="N88" s="10"/>
      <c r="O88" s="10" t="s">
        <v>13</v>
      </c>
      <c r="P88" s="8"/>
      <c r="Q88" s="8"/>
      <c r="W88" s="11" t="s">
        <v>13</v>
      </c>
    </row>
    <row r="89" spans="1:23" s="11" customFormat="1" ht="40.5" hidden="1" customHeight="1" x14ac:dyDescent="0.3">
      <c r="A89" s="8" t="s">
        <v>13</v>
      </c>
      <c r="B89" s="9" t="s">
        <v>251</v>
      </c>
      <c r="C89" s="10" t="s">
        <v>47</v>
      </c>
      <c r="D89" s="9" t="s">
        <v>252</v>
      </c>
      <c r="E89" s="10" t="str">
        <f>E57</f>
        <v>AL6061, anode màu đen</v>
      </c>
      <c r="F89" s="10" t="str">
        <f>F57</f>
        <v>GTAM</v>
      </c>
      <c r="G89" s="10" t="s">
        <v>120</v>
      </c>
      <c r="H89" s="10">
        <f t="shared" si="6"/>
        <v>6</v>
      </c>
      <c r="I89" s="10" t="str">
        <f>I88</f>
        <v>đã đặt phôi, có thể làm xong trc 5/4</v>
      </c>
      <c r="J89" s="10"/>
      <c r="K89" s="10"/>
      <c r="L89" s="10"/>
      <c r="M89" s="10"/>
      <c r="N89" s="10"/>
      <c r="O89" s="10" t="s">
        <v>13</v>
      </c>
      <c r="P89" s="8"/>
      <c r="Q89" s="8"/>
      <c r="W89" s="11" t="s">
        <v>13</v>
      </c>
    </row>
    <row r="90" spans="1:23" s="11" customFormat="1" ht="40.5" customHeight="1" x14ac:dyDescent="0.3">
      <c r="A90" s="8" t="s">
        <v>13</v>
      </c>
      <c r="B90" s="9" t="s">
        <v>253</v>
      </c>
      <c r="C90" s="10" t="s">
        <v>47</v>
      </c>
      <c r="D90" s="9" t="s">
        <v>254</v>
      </c>
      <c r="E90" s="10" t="str">
        <f>E65</f>
        <v>SUS304 có điện hóa</v>
      </c>
      <c r="F90" s="10" t="str">
        <f>F65</f>
        <v>CG</v>
      </c>
      <c r="G90" s="10" t="s">
        <v>123</v>
      </c>
      <c r="H90" s="10">
        <f t="shared" si="6"/>
        <v>6</v>
      </c>
      <c r="I90" s="10" t="str">
        <f>I81</f>
        <v>đã chốt làm MAH toàn bộ, có hàng trc 4/4</v>
      </c>
      <c r="J90" s="10"/>
      <c r="K90" s="10"/>
      <c r="L90" s="10"/>
      <c r="M90" s="10"/>
      <c r="N90" s="10"/>
      <c r="O90" s="10" t="s">
        <v>13</v>
      </c>
      <c r="P90" s="8"/>
      <c r="Q90" s="8"/>
      <c r="W90" s="11" t="s">
        <v>13</v>
      </c>
    </row>
    <row r="91" spans="1:23" s="11" customFormat="1" ht="40.5" customHeight="1" x14ac:dyDescent="0.3">
      <c r="A91" s="8" t="s">
        <v>13</v>
      </c>
      <c r="B91" s="9" t="s">
        <v>255</v>
      </c>
      <c r="C91" s="10" t="s">
        <v>15</v>
      </c>
      <c r="D91" s="9" t="s">
        <v>256</v>
      </c>
      <c r="E91" s="10" t="str">
        <f>E59</f>
        <v>SUS304 có điện hóa</v>
      </c>
      <c r="F91" s="10" t="str">
        <f>F59</f>
        <v>CG</v>
      </c>
      <c r="G91" s="10" t="s">
        <v>126</v>
      </c>
      <c r="H91" s="10">
        <f t="shared" si="6"/>
        <v>12</v>
      </c>
      <c r="I91" s="10" t="str">
        <f>I90</f>
        <v>đã chốt làm MAH toàn bộ, có hàng trc 4/4</v>
      </c>
      <c r="J91" s="10"/>
      <c r="K91" s="10"/>
      <c r="L91" s="10"/>
      <c r="M91" s="10"/>
      <c r="N91" s="10"/>
      <c r="O91" s="10" t="s">
        <v>13</v>
      </c>
      <c r="P91" s="8"/>
      <c r="Q91" s="8"/>
      <c r="W91" s="11" t="s">
        <v>13</v>
      </c>
    </row>
    <row r="92" spans="1:23" s="11" customFormat="1" ht="40.5" hidden="1" customHeight="1" x14ac:dyDescent="0.3">
      <c r="A92" s="8" t="s">
        <v>13</v>
      </c>
      <c r="B92" s="9" t="s">
        <v>23</v>
      </c>
      <c r="C92" s="10" t="s">
        <v>15</v>
      </c>
      <c r="D92" s="9" t="s">
        <v>24</v>
      </c>
      <c r="E92" s="10" t="str">
        <f>E60</f>
        <v>belt PU chống tĩnh điện, màu đen, dày 1.5mm, bản rộng 20mm, chu vi 680mm ( đo mép trong 686mm)</v>
      </c>
      <c r="F92" s="10" t="str">
        <f>F60</f>
        <v>Yongli</v>
      </c>
      <c r="G92" s="10" t="s">
        <v>19</v>
      </c>
      <c r="H92" s="10">
        <f t="shared" si="6"/>
        <v>12</v>
      </c>
      <c r="I92" s="10" t="str">
        <f>I60</f>
        <v xml:space="preserve">đã nhận hàng  </v>
      </c>
      <c r="J92" s="10"/>
      <c r="K92" s="10"/>
      <c r="L92" s="10"/>
      <c r="M92" s="10"/>
      <c r="N92" s="10"/>
      <c r="O92" s="10" t="s">
        <v>13</v>
      </c>
      <c r="P92" s="8"/>
      <c r="Q92" s="8"/>
      <c r="W92" s="11" t="s">
        <v>13</v>
      </c>
    </row>
    <row r="93" spans="1:23" s="11" customFormat="1" ht="40.5" hidden="1" customHeight="1" x14ac:dyDescent="0.3">
      <c r="A93" s="8" t="s">
        <v>13</v>
      </c>
      <c r="B93" s="9" t="s">
        <v>257</v>
      </c>
      <c r="C93" s="10" t="s">
        <v>47</v>
      </c>
      <c r="D93" s="19" t="s">
        <v>258</v>
      </c>
      <c r="E93" s="10" t="str">
        <f>E61</f>
        <v>SUS304 điện hóa/ S45C mạ Nikel</v>
      </c>
      <c r="F93" s="10" t="str">
        <f>F30</f>
        <v>TAT</v>
      </c>
      <c r="G93" s="10" t="s">
        <v>129</v>
      </c>
      <c r="H93" s="10">
        <f t="shared" si="6"/>
        <v>6</v>
      </c>
      <c r="I93" s="10" t="str">
        <f>I87</f>
        <v>Ng đã đặt NCC mới cho đủ 84CV</v>
      </c>
      <c r="J93" s="10"/>
      <c r="K93" s="10"/>
      <c r="L93" s="10"/>
      <c r="M93" s="10"/>
      <c r="N93" s="10"/>
      <c r="O93" s="10" t="s">
        <v>13</v>
      </c>
      <c r="P93" s="8"/>
      <c r="Q93" s="8"/>
      <c r="W93" s="11" t="s">
        <v>13</v>
      </c>
    </row>
    <row r="94" spans="1:23" s="11" customFormat="1" ht="40.5" hidden="1" customHeight="1" x14ac:dyDescent="0.3">
      <c r="A94" s="8" t="s">
        <v>13</v>
      </c>
      <c r="B94" s="9" t="s">
        <v>259</v>
      </c>
      <c r="C94" s="10" t="s">
        <v>15</v>
      </c>
      <c r="D94" s="9" t="s">
        <v>260</v>
      </c>
      <c r="E94" s="10" t="str">
        <f>E62</f>
        <v>Phanh trục STWN8</v>
      </c>
      <c r="F94" s="10" t="str">
        <f>F62</f>
        <v>PT- Phanh trục</v>
      </c>
      <c r="G94" s="10" t="s">
        <v>133</v>
      </c>
      <c r="H94" s="10">
        <f t="shared" si="6"/>
        <v>12</v>
      </c>
      <c r="I94" s="10" t="str">
        <f>I62</f>
        <v>tồn kho sẵn</v>
      </c>
      <c r="J94" s="10"/>
      <c r="K94" s="10"/>
      <c r="L94" s="10"/>
      <c r="M94" s="10"/>
      <c r="N94" s="10"/>
      <c r="O94" s="10" t="s">
        <v>13</v>
      </c>
      <c r="P94" s="8"/>
      <c r="Q94" s="8"/>
      <c r="W94" s="11" t="s">
        <v>13</v>
      </c>
    </row>
    <row r="95" spans="1:23" s="11" customFormat="1" ht="40.5" hidden="1" customHeight="1" x14ac:dyDescent="0.3">
      <c r="A95" s="8" t="s">
        <v>13</v>
      </c>
      <c r="B95" s="9" t="s">
        <v>261</v>
      </c>
      <c r="C95" s="10" t="s">
        <v>15</v>
      </c>
      <c r="D95" s="9" t="s">
        <v>262</v>
      </c>
      <c r="E95" s="10" t="str">
        <f>E63</f>
        <v>AL6061, anode màu đen</v>
      </c>
      <c r="F95" s="10" t="str">
        <f>F63</f>
        <v>GTAM</v>
      </c>
      <c r="G95" s="10" t="s">
        <v>136</v>
      </c>
      <c r="H95" s="10">
        <f t="shared" si="6"/>
        <v>12</v>
      </c>
      <c r="I95" s="10" t="str">
        <f>I89</f>
        <v>đã đặt phôi, có thể làm xong trc 5/4</v>
      </c>
      <c r="J95" s="10"/>
      <c r="K95" s="10"/>
      <c r="L95" s="10"/>
      <c r="M95" s="10"/>
      <c r="N95" s="10"/>
      <c r="O95" s="10" t="s">
        <v>13</v>
      </c>
      <c r="P95" s="8"/>
      <c r="Q95" s="8"/>
      <c r="W95" s="11" t="s">
        <v>13</v>
      </c>
    </row>
    <row r="96" spans="1:23" s="11" customFormat="1" ht="40.5" hidden="1" customHeight="1" x14ac:dyDescent="0.3">
      <c r="A96" s="8" t="s">
        <v>13</v>
      </c>
      <c r="B96" s="9" t="s">
        <v>263</v>
      </c>
      <c r="C96" s="10" t="s">
        <v>15</v>
      </c>
      <c r="D96" s="9" t="s">
        <v>264</v>
      </c>
      <c r="E96" s="10" t="str">
        <f>E64</f>
        <v>B6000ZZ</v>
      </c>
      <c r="F96" s="10" t="str">
        <f>F64</f>
        <v>VB</v>
      </c>
      <c r="G96" s="10" t="s">
        <v>140</v>
      </c>
      <c r="H96" s="10">
        <f t="shared" si="6"/>
        <v>12</v>
      </c>
      <c r="I96" s="10" t="str">
        <f>I71</f>
        <v>hàng đã về</v>
      </c>
      <c r="J96" s="10"/>
      <c r="K96" s="10"/>
      <c r="L96" s="10"/>
      <c r="M96" s="10"/>
      <c r="N96" s="10"/>
      <c r="O96" s="10" t="s">
        <v>13</v>
      </c>
      <c r="P96" s="8"/>
      <c r="Q96" s="8"/>
      <c r="W96" s="11" t="s">
        <v>13</v>
      </c>
    </row>
    <row r="97" spans="1:23" s="11" customFormat="1" ht="40.5" customHeight="1" x14ac:dyDescent="0.3">
      <c r="A97" s="8" t="s">
        <v>13</v>
      </c>
      <c r="B97" s="9" t="s">
        <v>265</v>
      </c>
      <c r="C97" s="10" t="s">
        <v>47</v>
      </c>
      <c r="D97" s="9" t="s">
        <v>266</v>
      </c>
      <c r="E97" s="10" t="str">
        <f>E90</f>
        <v>SUS304 có điện hóa</v>
      </c>
      <c r="F97" s="10" t="str">
        <f>F90</f>
        <v>CG</v>
      </c>
      <c r="G97" s="10" t="s">
        <v>123</v>
      </c>
      <c r="H97" s="10">
        <f t="shared" si="6"/>
        <v>6</v>
      </c>
      <c r="I97" s="10" t="str">
        <f>I91</f>
        <v>đã chốt làm MAH toàn bộ, có hàng trc 4/4</v>
      </c>
      <c r="J97" s="10"/>
      <c r="K97" s="10"/>
      <c r="L97" s="10"/>
      <c r="M97" s="10"/>
      <c r="N97" s="10"/>
      <c r="O97" s="10" t="s">
        <v>13</v>
      </c>
      <c r="P97" s="8"/>
      <c r="Q97" s="8"/>
      <c r="W97" s="11" t="s">
        <v>13</v>
      </c>
    </row>
    <row r="98" spans="1:23" s="11" customFormat="1" ht="40.5" hidden="1" customHeight="1" x14ac:dyDescent="0.3">
      <c r="A98" s="8" t="s">
        <v>13</v>
      </c>
      <c r="B98" s="9" t="s">
        <v>267</v>
      </c>
      <c r="C98" s="10" t="s">
        <v>47</v>
      </c>
      <c r="D98" s="9" t="s">
        <v>268</v>
      </c>
      <c r="E98" s="10" t="str">
        <f>E88</f>
        <v>AL6061, anode màu đen</v>
      </c>
      <c r="F98" s="10" t="str">
        <f>F88</f>
        <v>GTAM</v>
      </c>
      <c r="G98" s="10" t="s">
        <v>117</v>
      </c>
      <c r="H98" s="10">
        <f t="shared" si="6"/>
        <v>6</v>
      </c>
      <c r="I98" s="10" t="str">
        <f>I95</f>
        <v>đã đặt phôi, có thể làm xong trc 5/4</v>
      </c>
      <c r="J98" s="10"/>
      <c r="K98" s="10"/>
      <c r="L98" s="10"/>
      <c r="M98" s="10"/>
      <c r="N98" s="10"/>
      <c r="O98" s="10" t="s">
        <v>13</v>
      </c>
      <c r="P98" s="8"/>
      <c r="Q98" s="8"/>
      <c r="W98" s="11" t="s">
        <v>13</v>
      </c>
    </row>
    <row r="99" spans="1:23" s="11" customFormat="1" ht="40.5" hidden="1" customHeight="1" x14ac:dyDescent="0.3">
      <c r="A99" s="8" t="s">
        <v>13</v>
      </c>
      <c r="B99" s="9" t="s">
        <v>269</v>
      </c>
      <c r="C99" s="10" t="s">
        <v>47</v>
      </c>
      <c r="D99" s="9" t="s">
        <v>270</v>
      </c>
      <c r="E99" s="10" t="str">
        <f>E85</f>
        <v>AL6061, anode màu đen</v>
      </c>
      <c r="F99" s="10" t="str">
        <f>F85</f>
        <v>GTAM</v>
      </c>
      <c r="G99" s="10" t="s">
        <v>108</v>
      </c>
      <c r="H99" s="10">
        <f t="shared" si="6"/>
        <v>6</v>
      </c>
      <c r="I99" s="10" t="str">
        <f>I98</f>
        <v>đã đặt phôi, có thể làm xong trc 5/4</v>
      </c>
      <c r="J99" s="10"/>
      <c r="K99" s="10"/>
      <c r="L99" s="10"/>
      <c r="M99" s="10"/>
      <c r="N99" s="10"/>
      <c r="O99" s="10" t="s">
        <v>13</v>
      </c>
      <c r="P99" s="8"/>
      <c r="Q99" s="8"/>
      <c r="W99" s="11" t="s">
        <v>13</v>
      </c>
    </row>
    <row r="101" spans="1:23" x14ac:dyDescent="0.3">
      <c r="F101" s="20"/>
      <c r="G101" s="21" t="str">
        <f>I2</f>
        <v>giao 50% ngày 5/4</v>
      </c>
      <c r="H101" s="21" t="str">
        <f>J2</f>
        <v>giao 50% còn lại ngày 15/4</v>
      </c>
    </row>
    <row r="102" spans="1:23" x14ac:dyDescent="0.3">
      <c r="F102" s="17" t="s">
        <v>25</v>
      </c>
      <c r="G102" s="18" t="str">
        <f>I99</f>
        <v>đã đặt phôi, có thể làm xong trc 5/4</v>
      </c>
      <c r="H102" s="18"/>
    </row>
    <row r="103" spans="1:23" x14ac:dyDescent="0.3">
      <c r="F103" s="17" t="s">
        <v>26</v>
      </c>
      <c r="G103" s="18" t="str">
        <f>I91</f>
        <v>đã chốt làm MAH toàn bộ, có hàng trc 4/4</v>
      </c>
      <c r="H103" s="18" t="str">
        <f>G103</f>
        <v>đã chốt làm MAH toàn bộ, có hàng trc 4/4</v>
      </c>
      <c r="J103" t="s">
        <v>826</v>
      </c>
    </row>
    <row r="104" spans="1:23" x14ac:dyDescent="0.3">
      <c r="F104" s="17" t="str">
        <f>F62</f>
        <v>PT- Phanh trục</v>
      </c>
      <c r="G104" s="18" t="str">
        <f>I94</f>
        <v>tồn kho sẵn</v>
      </c>
      <c r="H104" s="18"/>
    </row>
    <row r="105" spans="1:23" x14ac:dyDescent="0.3">
      <c r="F105" s="17" t="s">
        <v>29</v>
      </c>
      <c r="G105" s="18" t="str">
        <f>I45</f>
        <v>31/3 và 3/4 nhận đủ hàng</v>
      </c>
      <c r="H105" s="18"/>
    </row>
    <row r="106" spans="1:23" x14ac:dyDescent="0.3">
      <c r="F106" s="17" t="str">
        <f>F7</f>
        <v>TAT</v>
      </c>
      <c r="G106" s="18" t="str">
        <f>I93</f>
        <v>Ng đã đặt NCC mới cho đủ 84CV</v>
      </c>
      <c r="H106" s="18"/>
    </row>
    <row r="107" spans="1:23" x14ac:dyDescent="0.3">
      <c r="F107" s="17" t="str">
        <f>F12</f>
        <v>Then cài</v>
      </c>
      <c r="G107" s="18" t="str">
        <f>I12</f>
        <v>đã tồn kho sẵn</v>
      </c>
      <c r="H107" s="18"/>
    </row>
    <row r="108" spans="1:23" x14ac:dyDescent="0.3">
      <c r="F108" s="17" t="s">
        <v>34</v>
      </c>
      <c r="G108" s="18" t="str">
        <f>I78</f>
        <v>đã báo đặt hàng</v>
      </c>
      <c r="H108" s="18"/>
    </row>
    <row r="109" spans="1:23" x14ac:dyDescent="0.3">
      <c r="F109" s="17" t="s">
        <v>36</v>
      </c>
      <c r="G109" s="18" t="str">
        <f>I79</f>
        <v>đã nhận hàng 30/3</v>
      </c>
      <c r="H109" s="18"/>
    </row>
    <row r="110" spans="1:23" x14ac:dyDescent="0.3">
      <c r="C110" s="22"/>
      <c r="F110" s="17" t="s">
        <v>37</v>
      </c>
      <c r="G110" s="18" t="str">
        <f>I96</f>
        <v>hàng đã về</v>
      </c>
      <c r="H110" s="18"/>
    </row>
    <row r="111" spans="1:23" x14ac:dyDescent="0.3">
      <c r="C111" s="23" t="s">
        <v>15</v>
      </c>
      <c r="F111" s="17" t="s">
        <v>18</v>
      </c>
      <c r="G111" s="18" t="str">
        <f>I29</f>
        <v xml:space="preserve">đã nhận hàng  </v>
      </c>
      <c r="H111" s="18"/>
    </row>
    <row r="112" spans="1:23" x14ac:dyDescent="0.3">
      <c r="C112" s="23" t="s">
        <v>47</v>
      </c>
    </row>
    <row r="113" spans="3:3" x14ac:dyDescent="0.3">
      <c r="C113" s="23" t="s">
        <v>15</v>
      </c>
    </row>
    <row r="114" spans="3:3" x14ac:dyDescent="0.3">
      <c r="C114" s="23" t="s">
        <v>47</v>
      </c>
    </row>
    <row r="115" spans="3:3" x14ac:dyDescent="0.3">
      <c r="C115" s="23" t="s">
        <v>21</v>
      </c>
    </row>
    <row r="116" spans="3:3" x14ac:dyDescent="0.3">
      <c r="C116" s="23" t="s">
        <v>15</v>
      </c>
    </row>
    <row r="117" spans="3:3" x14ac:dyDescent="0.3">
      <c r="C117" s="23" t="s">
        <v>21</v>
      </c>
    </row>
    <row r="118" spans="3:3" x14ac:dyDescent="0.3">
      <c r="C118" s="23" t="s">
        <v>15</v>
      </c>
    </row>
    <row r="119" spans="3:3" x14ac:dyDescent="0.3">
      <c r="C119" s="23" t="s">
        <v>15</v>
      </c>
    </row>
    <row r="120" spans="3:3" x14ac:dyDescent="0.3">
      <c r="C120" s="23" t="s">
        <v>47</v>
      </c>
    </row>
    <row r="121" spans="3:3" x14ac:dyDescent="0.3">
      <c r="C121" s="23" t="s">
        <v>15</v>
      </c>
    </row>
    <row r="122" spans="3:3" x14ac:dyDescent="0.3">
      <c r="C122" s="23" t="s">
        <v>47</v>
      </c>
    </row>
    <row r="123" spans="3:3" x14ac:dyDescent="0.3">
      <c r="C123" s="23">
        <f>SUM(C111:C122)</f>
        <v>0</v>
      </c>
    </row>
    <row r="124" spans="3:3" x14ac:dyDescent="0.3">
      <c r="C124" s="22"/>
    </row>
  </sheetData>
  <autoFilter ref="A2:I99" xr:uid="{00000000-0001-0000-0000-000000000000}">
    <filterColumn colId="5">
      <filters>
        <filter val="CG"/>
      </filters>
    </filterColumn>
  </autoFilter>
  <conditionalFormatting sqref="G1:G101 G112:G1048576 H101">
    <cfRule type="duplicateValues" dxfId="3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B466-77E9-4FDB-BA9C-CB6DBFCE15EA}">
  <dimension ref="A1:W102"/>
  <sheetViews>
    <sheetView workbookViewId="0">
      <selection activeCell="G30" sqref="G30"/>
    </sheetView>
  </sheetViews>
  <sheetFormatPr defaultRowHeight="14.4" x14ac:dyDescent="0.3"/>
  <cols>
    <col min="1" max="1" width="16.44140625" customWidth="1"/>
    <col min="2" max="2" width="12" customWidth="1"/>
    <col min="3" max="3" width="9.6640625" customWidth="1"/>
    <col min="4" max="4" width="50.44140625" customWidth="1"/>
    <col min="5" max="5" width="37.33203125" customWidth="1"/>
    <col min="6" max="6" width="23.88671875" customWidth="1"/>
    <col min="7" max="7" width="23.44140625" customWidth="1"/>
    <col min="8" max="8" width="19.6640625" customWidth="1"/>
    <col min="9" max="9" width="27.33203125" customWidth="1"/>
    <col min="10" max="14" width="19.6640625" customWidth="1"/>
    <col min="15" max="15" width="19.44140625" customWidth="1"/>
    <col min="16" max="16" width="17.88671875" customWidth="1"/>
  </cols>
  <sheetData>
    <row r="1" spans="1:23" ht="26.4" thickBot="1" x14ac:dyDescent="0.55000000000000004">
      <c r="A1" s="12" t="s">
        <v>271</v>
      </c>
      <c r="B1" s="2"/>
      <c r="C1" s="2"/>
      <c r="D1" s="2"/>
      <c r="G1" s="4" t="s">
        <v>10</v>
      </c>
      <c r="H1" s="4">
        <v>9</v>
      </c>
      <c r="I1" s="4" t="s">
        <v>272</v>
      </c>
    </row>
    <row r="2" spans="1:23" s="7" customFormat="1" ht="16.2" thickTop="1" x14ac:dyDescent="0.3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6" t="s">
        <v>8</v>
      </c>
      <c r="G2" s="5" t="s">
        <v>9</v>
      </c>
      <c r="H2" s="5"/>
      <c r="I2" s="5" t="s">
        <v>11</v>
      </c>
      <c r="J2" s="5"/>
      <c r="K2" s="5"/>
      <c r="L2" s="5"/>
      <c r="M2" s="5"/>
      <c r="N2" s="5"/>
      <c r="O2" s="5" t="s">
        <v>12</v>
      </c>
      <c r="W2" s="7" t="s">
        <v>13</v>
      </c>
    </row>
    <row r="3" spans="1:23" s="11" customFormat="1" ht="40.5" customHeight="1" x14ac:dyDescent="0.3">
      <c r="A3" s="8" t="s">
        <v>13</v>
      </c>
      <c r="B3" s="9" t="s">
        <v>273</v>
      </c>
      <c r="C3" s="10" t="s">
        <v>47</v>
      </c>
      <c r="D3" s="9" t="s">
        <v>274</v>
      </c>
      <c r="E3" s="9" t="s">
        <v>275</v>
      </c>
      <c r="F3" s="9" t="s">
        <v>34</v>
      </c>
      <c r="G3" s="10" t="s">
        <v>64</v>
      </c>
      <c r="H3" s="10">
        <f>$H$1*C3</f>
        <v>9</v>
      </c>
      <c r="I3" s="10"/>
      <c r="J3" s="10"/>
      <c r="K3" s="10"/>
      <c r="L3" s="10"/>
      <c r="M3" s="10"/>
      <c r="N3" s="10"/>
      <c r="O3" s="10" t="s">
        <v>13</v>
      </c>
      <c r="P3" s="8"/>
      <c r="Q3" s="8"/>
      <c r="W3" s="11" t="s">
        <v>13</v>
      </c>
    </row>
    <row r="4" spans="1:23" s="11" customFormat="1" ht="40.5" customHeight="1" x14ac:dyDescent="0.3">
      <c r="A4" s="8" t="s">
        <v>13</v>
      </c>
      <c r="B4" s="9" t="s">
        <v>276</v>
      </c>
      <c r="C4" s="10" t="s">
        <v>47</v>
      </c>
      <c r="D4" s="9" t="s">
        <v>277</v>
      </c>
      <c r="E4" s="9" t="s">
        <v>278</v>
      </c>
      <c r="F4" s="10" t="str">
        <f>F3</f>
        <v>SPG</v>
      </c>
      <c r="G4" s="10" t="s">
        <v>68</v>
      </c>
      <c r="H4" s="10">
        <f t="shared" ref="H4:H67" si="0">$H$1*C4</f>
        <v>9</v>
      </c>
      <c r="I4" s="10"/>
      <c r="J4" s="10"/>
      <c r="K4" s="10"/>
      <c r="L4" s="10"/>
      <c r="M4" s="10"/>
      <c r="N4" s="10"/>
      <c r="O4" s="10" t="s">
        <v>13</v>
      </c>
      <c r="P4" s="8"/>
      <c r="Q4" s="8"/>
      <c r="W4" s="11" t="s">
        <v>13</v>
      </c>
    </row>
    <row r="5" spans="1:23" s="11" customFormat="1" ht="40.5" customHeight="1" x14ac:dyDescent="0.3">
      <c r="A5" s="8" t="s">
        <v>13</v>
      </c>
      <c r="B5" s="9" t="s">
        <v>279</v>
      </c>
      <c r="C5" s="10" t="s">
        <v>15</v>
      </c>
      <c r="D5" s="9" t="s">
        <v>280</v>
      </c>
      <c r="E5" s="9" t="s">
        <v>71</v>
      </c>
      <c r="F5" s="9" t="s">
        <v>36</v>
      </c>
      <c r="G5" s="10" t="s">
        <v>72</v>
      </c>
      <c r="H5" s="10">
        <f t="shared" si="0"/>
        <v>18</v>
      </c>
      <c r="I5" s="10" t="str">
        <f>'Z0000002-238846 BOM trien k hai'!G109</f>
        <v>đã nhận hàng 30/3</v>
      </c>
      <c r="J5" s="10"/>
      <c r="K5" s="10"/>
      <c r="L5" s="10"/>
      <c r="M5" s="10"/>
      <c r="N5" s="10"/>
      <c r="O5" s="10" t="s">
        <v>13</v>
      </c>
      <c r="P5" s="8"/>
      <c r="Q5" s="8"/>
      <c r="W5" s="11" t="s">
        <v>13</v>
      </c>
    </row>
    <row r="6" spans="1:23" s="11" customFormat="1" ht="40.5" customHeight="1" x14ac:dyDescent="0.3">
      <c r="A6" s="8" t="s">
        <v>13</v>
      </c>
      <c r="B6" s="9" t="s">
        <v>281</v>
      </c>
      <c r="C6" s="10" t="s">
        <v>15</v>
      </c>
      <c r="D6" s="10" t="s">
        <v>282</v>
      </c>
      <c r="E6" s="9" t="s">
        <v>75</v>
      </c>
      <c r="F6" s="9" t="s">
        <v>32</v>
      </c>
      <c r="G6" s="9" t="s">
        <v>76</v>
      </c>
      <c r="H6" s="10">
        <f t="shared" si="0"/>
        <v>18</v>
      </c>
      <c r="I6" s="10" t="s">
        <v>283</v>
      </c>
      <c r="J6" s="10"/>
      <c r="K6" s="10"/>
      <c r="L6" s="10"/>
      <c r="M6" s="10"/>
      <c r="N6" s="10"/>
      <c r="O6" s="10" t="s">
        <v>13</v>
      </c>
      <c r="P6" s="8"/>
      <c r="Q6" s="8"/>
      <c r="W6" s="11" t="s">
        <v>13</v>
      </c>
    </row>
    <row r="7" spans="1:23" s="11" customFormat="1" ht="40.5" customHeight="1" x14ac:dyDescent="0.3">
      <c r="A7" s="8" t="s">
        <v>13</v>
      </c>
      <c r="B7" s="9" t="s">
        <v>284</v>
      </c>
      <c r="C7" s="10" t="s">
        <v>47</v>
      </c>
      <c r="D7" s="10" t="s">
        <v>285</v>
      </c>
      <c r="E7" s="9" t="s">
        <v>286</v>
      </c>
      <c r="F7" s="9" t="s">
        <v>26</v>
      </c>
      <c r="G7" s="10" t="s">
        <v>80</v>
      </c>
      <c r="H7" s="10">
        <f t="shared" si="0"/>
        <v>9</v>
      </c>
      <c r="I7" s="10"/>
      <c r="J7" s="10"/>
      <c r="K7" s="10"/>
      <c r="L7" s="10"/>
      <c r="M7" s="10"/>
      <c r="N7" s="10"/>
      <c r="O7" s="10" t="s">
        <v>13</v>
      </c>
      <c r="P7" s="8"/>
      <c r="Q7" s="8"/>
      <c r="W7" s="11" t="s">
        <v>13</v>
      </c>
    </row>
    <row r="8" spans="1:23" s="11" customFormat="1" ht="40.5" customHeight="1" x14ac:dyDescent="0.3">
      <c r="A8" s="8" t="s">
        <v>13</v>
      </c>
      <c r="B8" s="9" t="s">
        <v>287</v>
      </c>
      <c r="C8" s="10" t="s">
        <v>47</v>
      </c>
      <c r="D8" s="9" t="s">
        <v>288</v>
      </c>
      <c r="E8" s="9" t="s">
        <v>818</v>
      </c>
      <c r="F8" s="9" t="s">
        <v>29</v>
      </c>
      <c r="G8" s="10" t="s">
        <v>83</v>
      </c>
      <c r="H8" s="10">
        <f t="shared" si="0"/>
        <v>9</v>
      </c>
      <c r="I8" s="10" t="str">
        <f>'Z0000002-238846 BOM trien k hai'!G105</f>
        <v>31/3 và 3/4 nhận đủ hàng</v>
      </c>
      <c r="J8" s="10"/>
      <c r="K8" s="10"/>
      <c r="L8" s="10"/>
      <c r="M8" s="10"/>
      <c r="N8" s="10"/>
      <c r="O8" s="10" t="s">
        <v>13</v>
      </c>
      <c r="P8" s="8"/>
      <c r="Q8" s="8"/>
      <c r="W8" s="11" t="s">
        <v>13</v>
      </c>
    </row>
    <row r="9" spans="1:23" s="11" customFormat="1" ht="40.5" customHeight="1" x14ac:dyDescent="0.3">
      <c r="A9" s="8" t="s">
        <v>13</v>
      </c>
      <c r="B9" s="9" t="s">
        <v>289</v>
      </c>
      <c r="C9" s="10" t="s">
        <v>47</v>
      </c>
      <c r="D9" s="10" t="s">
        <v>290</v>
      </c>
      <c r="E9" s="9" t="s">
        <v>86</v>
      </c>
      <c r="F9" s="9" t="s">
        <v>25</v>
      </c>
      <c r="G9" s="10" t="s">
        <v>87</v>
      </c>
      <c r="H9" s="10">
        <f t="shared" si="0"/>
        <v>9</v>
      </c>
      <c r="I9" s="10"/>
      <c r="J9" s="10"/>
      <c r="K9" s="10"/>
      <c r="L9" s="10"/>
      <c r="M9" s="10"/>
      <c r="N9" s="10"/>
      <c r="O9" s="10" t="s">
        <v>13</v>
      </c>
      <c r="P9" s="8"/>
      <c r="Q9" s="8"/>
      <c r="W9" s="11" t="s">
        <v>13</v>
      </c>
    </row>
    <row r="10" spans="1:23" s="11" customFormat="1" ht="40.5" customHeight="1" x14ac:dyDescent="0.3">
      <c r="A10" s="8" t="s">
        <v>13</v>
      </c>
      <c r="B10" s="9" t="s">
        <v>291</v>
      </c>
      <c r="C10" s="10" t="s">
        <v>47</v>
      </c>
      <c r="D10" s="10" t="s">
        <v>292</v>
      </c>
      <c r="E10" s="9" t="s">
        <v>41</v>
      </c>
      <c r="F10" s="10" t="str">
        <f>F9</f>
        <v>GTAM</v>
      </c>
      <c r="G10" s="10" t="s">
        <v>90</v>
      </c>
      <c r="H10" s="10">
        <f t="shared" si="0"/>
        <v>9</v>
      </c>
      <c r="I10" s="10"/>
      <c r="J10" s="10"/>
      <c r="K10" s="10"/>
      <c r="L10" s="10"/>
      <c r="M10" s="10"/>
      <c r="N10" s="10"/>
      <c r="O10" s="10" t="s">
        <v>13</v>
      </c>
      <c r="P10" s="8"/>
      <c r="Q10" s="8"/>
      <c r="W10" s="11" t="s">
        <v>13</v>
      </c>
    </row>
    <row r="11" spans="1:23" s="11" customFormat="1" ht="40.5" customHeight="1" x14ac:dyDescent="0.3">
      <c r="A11" s="8" t="s">
        <v>13</v>
      </c>
      <c r="B11" s="9" t="s">
        <v>293</v>
      </c>
      <c r="C11" s="10" t="s">
        <v>47</v>
      </c>
      <c r="D11" s="10" t="s">
        <v>294</v>
      </c>
      <c r="E11" s="10" t="str">
        <f>E10</f>
        <v>AL6061, anode màu đen</v>
      </c>
      <c r="F11" s="10" t="str">
        <f>F10</f>
        <v>GTAM</v>
      </c>
      <c r="G11" s="10" t="s">
        <v>93</v>
      </c>
      <c r="H11" s="10">
        <f t="shared" si="0"/>
        <v>9</v>
      </c>
      <c r="I11" s="10"/>
      <c r="J11" s="10"/>
      <c r="K11" s="10"/>
      <c r="L11" s="10"/>
      <c r="M11" s="10"/>
      <c r="N11" s="10"/>
      <c r="O11" s="10" t="s">
        <v>13</v>
      </c>
      <c r="P11" s="8"/>
      <c r="Q11" s="8"/>
      <c r="W11" s="11" t="s">
        <v>13</v>
      </c>
    </row>
    <row r="12" spans="1:23" s="11" customFormat="1" ht="40.5" customHeight="1" x14ac:dyDescent="0.3">
      <c r="A12" s="8" t="s">
        <v>13</v>
      </c>
      <c r="B12" s="9" t="s">
        <v>295</v>
      </c>
      <c r="C12" s="10" t="s">
        <v>47</v>
      </c>
      <c r="D12" s="10" t="s">
        <v>296</v>
      </c>
      <c r="E12" s="10" t="str">
        <f>E23</f>
        <v>AL6061, anode màu đen</v>
      </c>
      <c r="F12" s="10" t="str">
        <f>F23</f>
        <v>GTAM</v>
      </c>
      <c r="G12" s="10" t="s">
        <v>96</v>
      </c>
      <c r="H12" s="10">
        <f t="shared" si="0"/>
        <v>9</v>
      </c>
      <c r="I12" s="10"/>
      <c r="J12" s="10"/>
      <c r="K12" s="10"/>
      <c r="L12" s="10"/>
      <c r="M12" s="10"/>
      <c r="N12" s="10"/>
      <c r="O12" s="10" t="s">
        <v>13</v>
      </c>
      <c r="P12" s="8"/>
      <c r="Q12" s="8"/>
      <c r="W12" s="11" t="s">
        <v>13</v>
      </c>
    </row>
    <row r="13" spans="1:23" s="11" customFormat="1" ht="40.5" customHeight="1" x14ac:dyDescent="0.3">
      <c r="A13" s="8" t="s">
        <v>13</v>
      </c>
      <c r="B13" s="9" t="s">
        <v>297</v>
      </c>
      <c r="C13" s="10" t="s">
        <v>47</v>
      </c>
      <c r="D13" s="10" t="s">
        <v>298</v>
      </c>
      <c r="E13" s="9" t="s">
        <v>286</v>
      </c>
      <c r="F13" s="9" t="s">
        <v>26</v>
      </c>
      <c r="G13" s="10" t="s">
        <v>99</v>
      </c>
      <c r="H13" s="10">
        <f t="shared" si="0"/>
        <v>9</v>
      </c>
      <c r="I13" s="10"/>
      <c r="J13" s="10"/>
      <c r="K13" s="10"/>
      <c r="L13" s="10"/>
      <c r="M13" s="10"/>
      <c r="N13" s="10"/>
      <c r="O13" s="10" t="s">
        <v>13</v>
      </c>
      <c r="P13" s="8"/>
      <c r="Q13" s="8"/>
      <c r="W13" s="11" t="s">
        <v>13</v>
      </c>
    </row>
    <row r="14" spans="1:23" s="11" customFormat="1" ht="40.5" customHeight="1" x14ac:dyDescent="0.3">
      <c r="A14" s="8" t="s">
        <v>13</v>
      </c>
      <c r="B14" s="9" t="s">
        <v>299</v>
      </c>
      <c r="C14" s="10" t="s">
        <v>47</v>
      </c>
      <c r="D14" s="10" t="s">
        <v>300</v>
      </c>
      <c r="E14" s="10" t="str">
        <f>E23</f>
        <v>AL6061, anode màu đen</v>
      </c>
      <c r="F14" s="10" t="str">
        <f>F23</f>
        <v>GTAM</v>
      </c>
      <c r="G14" s="10" t="s">
        <v>102</v>
      </c>
      <c r="H14" s="10">
        <f t="shared" si="0"/>
        <v>9</v>
      </c>
      <c r="I14" s="10"/>
      <c r="J14" s="10"/>
      <c r="K14" s="10"/>
      <c r="L14" s="10"/>
      <c r="M14" s="10"/>
      <c r="N14" s="10"/>
      <c r="O14" s="10" t="s">
        <v>13</v>
      </c>
      <c r="P14" s="8"/>
      <c r="Q14" s="8"/>
      <c r="W14" s="11" t="s">
        <v>13</v>
      </c>
    </row>
    <row r="15" spans="1:23" s="11" customFormat="1" ht="40.5" customHeight="1" x14ac:dyDescent="0.3">
      <c r="A15" s="8" t="s">
        <v>13</v>
      </c>
      <c r="B15" s="9" t="s">
        <v>301</v>
      </c>
      <c r="C15" s="10" t="s">
        <v>47</v>
      </c>
      <c r="D15" s="10" t="s">
        <v>302</v>
      </c>
      <c r="E15" s="9" t="s">
        <v>286</v>
      </c>
      <c r="F15" s="9" t="s">
        <v>26</v>
      </c>
      <c r="G15" s="10" t="s">
        <v>105</v>
      </c>
      <c r="H15" s="10">
        <f t="shared" si="0"/>
        <v>9</v>
      </c>
      <c r="I15" s="10"/>
      <c r="J15" s="10"/>
      <c r="K15" s="10"/>
      <c r="L15" s="10"/>
      <c r="M15" s="10"/>
      <c r="N15" s="10"/>
      <c r="O15" s="10" t="s">
        <v>13</v>
      </c>
      <c r="P15" s="8"/>
      <c r="Q15" s="8"/>
      <c r="W15" s="11" t="s">
        <v>13</v>
      </c>
    </row>
    <row r="16" spans="1:23" s="11" customFormat="1" ht="40.5" customHeight="1" x14ac:dyDescent="0.3">
      <c r="A16" s="8" t="s">
        <v>13</v>
      </c>
      <c r="B16" s="9" t="s">
        <v>303</v>
      </c>
      <c r="C16" s="10" t="s">
        <v>15</v>
      </c>
      <c r="D16" s="10" t="s">
        <v>304</v>
      </c>
      <c r="E16" s="9" t="s">
        <v>305</v>
      </c>
      <c r="F16" s="9" t="s">
        <v>37</v>
      </c>
      <c r="G16" s="10" t="s">
        <v>306</v>
      </c>
      <c r="H16" s="10">
        <f t="shared" si="0"/>
        <v>18</v>
      </c>
      <c r="I16" s="10" t="str">
        <f>'Z0000002-238846 BOM trien k hai'!G110</f>
        <v>hàng đã về</v>
      </c>
      <c r="J16" s="10"/>
      <c r="K16" s="10"/>
      <c r="L16" s="10"/>
      <c r="M16" s="10"/>
      <c r="N16" s="10"/>
      <c r="O16" s="10" t="s">
        <v>13</v>
      </c>
      <c r="P16" s="8"/>
      <c r="Q16" s="8"/>
      <c r="W16" s="11" t="s">
        <v>13</v>
      </c>
    </row>
    <row r="17" spans="1:23" s="11" customFormat="1" ht="40.5" customHeight="1" x14ac:dyDescent="0.3">
      <c r="A17" s="8" t="s">
        <v>13</v>
      </c>
      <c r="B17" s="9" t="s">
        <v>307</v>
      </c>
      <c r="C17" s="10" t="s">
        <v>15</v>
      </c>
      <c r="D17" s="10" t="s">
        <v>308</v>
      </c>
      <c r="E17" s="10" t="str">
        <f>E23</f>
        <v>AL6061, anode màu đen</v>
      </c>
      <c r="F17" s="10" t="str">
        <f>F23</f>
        <v>GTAM</v>
      </c>
      <c r="G17" s="10" t="s">
        <v>42</v>
      </c>
      <c r="H17" s="10">
        <f t="shared" si="0"/>
        <v>18</v>
      </c>
      <c r="I17" s="10"/>
      <c r="J17" s="10"/>
      <c r="K17" s="10"/>
      <c r="L17" s="10"/>
      <c r="M17" s="10"/>
      <c r="N17" s="10"/>
      <c r="O17" s="10" t="s">
        <v>13</v>
      </c>
      <c r="P17" s="8"/>
      <c r="Q17" s="8"/>
      <c r="W17" s="11" t="s">
        <v>13</v>
      </c>
    </row>
    <row r="18" spans="1:23" s="11" customFormat="1" ht="40.5" customHeight="1" x14ac:dyDescent="0.3">
      <c r="A18" s="8" t="s">
        <v>13</v>
      </c>
      <c r="B18" s="9" t="s">
        <v>309</v>
      </c>
      <c r="C18" s="10" t="s">
        <v>15</v>
      </c>
      <c r="D18" s="10" t="s">
        <v>310</v>
      </c>
      <c r="E18" s="10" t="str">
        <f>E23</f>
        <v>AL6061, anode màu đen</v>
      </c>
      <c r="F18" s="10" t="str">
        <f>F23</f>
        <v>GTAM</v>
      </c>
      <c r="G18" s="10" t="s">
        <v>45</v>
      </c>
      <c r="H18" s="10">
        <f t="shared" si="0"/>
        <v>18</v>
      </c>
      <c r="I18" s="10"/>
      <c r="J18" s="10"/>
      <c r="K18" s="10"/>
      <c r="L18" s="10"/>
      <c r="M18" s="10"/>
      <c r="N18" s="10"/>
      <c r="O18" s="10" t="s">
        <v>13</v>
      </c>
      <c r="P18" s="8"/>
      <c r="Q18" s="8"/>
      <c r="W18" s="11" t="s">
        <v>13</v>
      </c>
    </row>
    <row r="19" spans="1:23" s="11" customFormat="1" ht="40.5" customHeight="1" x14ac:dyDescent="0.3">
      <c r="A19" s="8" t="s">
        <v>13</v>
      </c>
      <c r="B19" s="9" t="s">
        <v>311</v>
      </c>
      <c r="C19" s="10" t="s">
        <v>47</v>
      </c>
      <c r="D19" s="10" t="s">
        <v>312</v>
      </c>
      <c r="E19" s="10" t="str">
        <f>E23</f>
        <v>AL6061, anode màu đen</v>
      </c>
      <c r="F19" s="10" t="str">
        <f>F23</f>
        <v>GTAM</v>
      </c>
      <c r="G19" s="10" t="s">
        <v>49</v>
      </c>
      <c r="H19" s="10">
        <f t="shared" si="0"/>
        <v>9</v>
      </c>
      <c r="I19" s="10"/>
      <c r="J19" s="10"/>
      <c r="K19" s="10"/>
      <c r="L19" s="10"/>
      <c r="M19" s="10"/>
      <c r="N19" s="10"/>
      <c r="O19" s="10" t="s">
        <v>13</v>
      </c>
      <c r="P19" s="8"/>
      <c r="Q19" s="8"/>
      <c r="W19" s="11" t="s">
        <v>13</v>
      </c>
    </row>
    <row r="20" spans="1:23" s="11" customFormat="1" ht="40.5" customHeight="1" x14ac:dyDescent="0.3">
      <c r="A20" s="8" t="s">
        <v>13</v>
      </c>
      <c r="B20" s="9" t="s">
        <v>313</v>
      </c>
      <c r="C20" s="10" t="s">
        <v>47</v>
      </c>
      <c r="D20" s="10" t="s">
        <v>314</v>
      </c>
      <c r="E20" s="9" t="s">
        <v>315</v>
      </c>
      <c r="F20" s="9" t="s">
        <v>18</v>
      </c>
      <c r="G20" s="10" t="s">
        <v>316</v>
      </c>
      <c r="H20" s="10">
        <f t="shared" si="0"/>
        <v>9</v>
      </c>
      <c r="I20" s="10" t="str">
        <f>'[1]Z0000002-238846 BOM trien k hai'!$I$29</f>
        <v>đã chốt đặt hàng</v>
      </c>
      <c r="J20" s="10"/>
      <c r="K20" s="10"/>
      <c r="L20" s="10"/>
      <c r="M20" s="10"/>
      <c r="N20" s="10"/>
      <c r="O20" s="10" t="s">
        <v>13</v>
      </c>
      <c r="P20" s="8"/>
      <c r="Q20" s="8"/>
      <c r="W20" s="11" t="s">
        <v>13</v>
      </c>
    </row>
    <row r="21" spans="1:23" s="11" customFormat="1" ht="40.5" customHeight="1" x14ac:dyDescent="0.3">
      <c r="A21" s="8" t="s">
        <v>13</v>
      </c>
      <c r="B21" s="9" t="s">
        <v>317</v>
      </c>
      <c r="C21" s="10" t="s">
        <v>47</v>
      </c>
      <c r="D21" s="10" t="s">
        <v>318</v>
      </c>
      <c r="E21" s="10" t="str">
        <f>E23</f>
        <v>AL6061, anode màu đen</v>
      </c>
      <c r="F21" s="10" t="str">
        <f>F23</f>
        <v>GTAM</v>
      </c>
      <c r="G21" s="10" t="s">
        <v>319</v>
      </c>
      <c r="H21" s="10">
        <f t="shared" si="0"/>
        <v>9</v>
      </c>
      <c r="I21" s="10"/>
      <c r="J21" s="10"/>
      <c r="K21" s="10"/>
      <c r="L21" s="10"/>
      <c r="M21" s="10"/>
      <c r="N21" s="10"/>
      <c r="O21" s="10" t="s">
        <v>13</v>
      </c>
      <c r="P21" s="8"/>
      <c r="Q21" s="8"/>
      <c r="W21" s="11" t="s">
        <v>13</v>
      </c>
    </row>
    <row r="22" spans="1:23" s="11" customFormat="1" ht="40.5" customHeight="1" x14ac:dyDescent="0.3">
      <c r="A22" s="8" t="s">
        <v>13</v>
      </c>
      <c r="B22" s="9" t="s">
        <v>320</v>
      </c>
      <c r="C22" s="10" t="s">
        <v>47</v>
      </c>
      <c r="D22" s="10" t="s">
        <v>321</v>
      </c>
      <c r="E22" s="10" t="str">
        <f>E21</f>
        <v>AL6061, anode màu đen</v>
      </c>
      <c r="F22" s="10" t="str">
        <f>F21</f>
        <v>GTAM</v>
      </c>
      <c r="G22" s="10" t="s">
        <v>319</v>
      </c>
      <c r="H22" s="10">
        <f t="shared" si="0"/>
        <v>9</v>
      </c>
      <c r="I22" s="10"/>
      <c r="J22" s="10"/>
      <c r="K22" s="10"/>
      <c r="L22" s="10"/>
      <c r="M22" s="10"/>
      <c r="N22" s="10"/>
      <c r="O22" s="10" t="s">
        <v>13</v>
      </c>
      <c r="P22" s="8"/>
      <c r="Q22" s="8"/>
      <c r="W22" s="11" t="s">
        <v>13</v>
      </c>
    </row>
    <row r="23" spans="1:23" s="11" customFormat="1" ht="40.5" customHeight="1" x14ac:dyDescent="0.3">
      <c r="A23" s="8" t="s">
        <v>13</v>
      </c>
      <c r="B23" s="9" t="s">
        <v>322</v>
      </c>
      <c r="C23" s="10" t="s">
        <v>15</v>
      </c>
      <c r="D23" s="10" t="s">
        <v>323</v>
      </c>
      <c r="E23" s="9" t="s">
        <v>41</v>
      </c>
      <c r="F23" s="9" t="s">
        <v>25</v>
      </c>
      <c r="G23" s="10" t="s">
        <v>136</v>
      </c>
      <c r="H23" s="10">
        <f t="shared" si="0"/>
        <v>18</v>
      </c>
      <c r="I23" s="10"/>
      <c r="J23" s="10"/>
      <c r="K23" s="10"/>
      <c r="L23" s="10"/>
      <c r="M23" s="10"/>
      <c r="N23" s="10"/>
      <c r="O23" s="10" t="s">
        <v>13</v>
      </c>
      <c r="P23" s="8"/>
      <c r="Q23" s="8"/>
      <c r="W23" s="11" t="s">
        <v>13</v>
      </c>
    </row>
    <row r="24" spans="1:23" s="11" customFormat="1" ht="40.5" customHeight="1" x14ac:dyDescent="0.3">
      <c r="A24" s="8" t="s">
        <v>13</v>
      </c>
      <c r="B24" s="9" t="s">
        <v>324</v>
      </c>
      <c r="C24" s="10" t="s">
        <v>47</v>
      </c>
      <c r="D24" s="10" t="s">
        <v>325</v>
      </c>
      <c r="E24" s="9" t="s">
        <v>286</v>
      </c>
      <c r="F24" s="9" t="s">
        <v>26</v>
      </c>
      <c r="G24" s="10" t="s">
        <v>326</v>
      </c>
      <c r="H24" s="10">
        <f t="shared" si="0"/>
        <v>9</v>
      </c>
      <c r="I24" s="10"/>
      <c r="J24" s="10"/>
      <c r="K24" s="10"/>
      <c r="L24" s="10"/>
      <c r="M24" s="10"/>
      <c r="N24" s="10"/>
      <c r="O24" s="10" t="s">
        <v>13</v>
      </c>
      <c r="P24" s="8"/>
      <c r="Q24" s="8"/>
      <c r="W24" s="11" t="s">
        <v>13</v>
      </c>
    </row>
    <row r="25" spans="1:23" s="11" customFormat="1" ht="40.5" customHeight="1" x14ac:dyDescent="0.3">
      <c r="A25" s="8" t="s">
        <v>13</v>
      </c>
      <c r="B25" s="9" t="s">
        <v>327</v>
      </c>
      <c r="C25" s="10" t="s">
        <v>47</v>
      </c>
      <c r="D25" s="10" t="s">
        <v>328</v>
      </c>
      <c r="E25" s="9" t="s">
        <v>286</v>
      </c>
      <c r="F25" s="9" t="s">
        <v>26</v>
      </c>
      <c r="G25" s="10" t="s">
        <v>329</v>
      </c>
      <c r="H25" s="10">
        <f t="shared" si="0"/>
        <v>9</v>
      </c>
      <c r="I25" s="10"/>
      <c r="J25" s="10"/>
      <c r="K25" s="10"/>
      <c r="L25" s="10"/>
      <c r="M25" s="10"/>
      <c r="N25" s="10"/>
      <c r="O25" s="10" t="s">
        <v>13</v>
      </c>
      <c r="P25" s="8"/>
      <c r="Q25" s="8"/>
      <c r="W25" s="11" t="s">
        <v>13</v>
      </c>
    </row>
    <row r="26" spans="1:23" s="11" customFormat="1" ht="40.5" customHeight="1" x14ac:dyDescent="0.3">
      <c r="A26" s="8" t="s">
        <v>13</v>
      </c>
      <c r="B26" s="9" t="s">
        <v>330</v>
      </c>
      <c r="C26" s="10" t="s">
        <v>47</v>
      </c>
      <c r="D26" s="10" t="s">
        <v>331</v>
      </c>
      <c r="E26" s="10" t="str">
        <f>E25</f>
        <v>SUS304 điện hóa</v>
      </c>
      <c r="F26" s="10" t="str">
        <f>F25</f>
        <v>CG</v>
      </c>
      <c r="G26" s="10" t="s">
        <v>329</v>
      </c>
      <c r="H26" s="10">
        <f t="shared" si="0"/>
        <v>9</v>
      </c>
      <c r="I26" s="10"/>
      <c r="J26" s="10"/>
      <c r="K26" s="10"/>
      <c r="L26" s="10"/>
      <c r="M26" s="10"/>
      <c r="N26" s="10"/>
      <c r="O26" s="10" t="s">
        <v>13</v>
      </c>
      <c r="P26" s="8"/>
      <c r="Q26" s="8"/>
      <c r="W26" s="11" t="s">
        <v>13</v>
      </c>
    </row>
    <row r="27" spans="1:23" s="11" customFormat="1" ht="40.5" customHeight="1" x14ac:dyDescent="0.3">
      <c r="A27" s="8" t="s">
        <v>13</v>
      </c>
      <c r="B27" s="9" t="s">
        <v>332</v>
      </c>
      <c r="C27" s="10" t="s">
        <v>47</v>
      </c>
      <c r="D27" s="10" t="s">
        <v>333</v>
      </c>
      <c r="E27" s="9" t="s">
        <v>334</v>
      </c>
      <c r="F27" s="9" t="s">
        <v>31</v>
      </c>
      <c r="G27" s="10" t="s">
        <v>335</v>
      </c>
      <c r="H27" s="10">
        <f t="shared" si="0"/>
        <v>9</v>
      </c>
      <c r="I27" s="10"/>
      <c r="J27" s="10"/>
      <c r="K27" s="10"/>
      <c r="L27" s="10"/>
      <c r="M27" s="10"/>
      <c r="N27" s="10"/>
      <c r="O27" s="10" t="s">
        <v>13</v>
      </c>
      <c r="P27" s="8"/>
      <c r="Q27" s="8"/>
      <c r="W27" s="11" t="s">
        <v>13</v>
      </c>
    </row>
    <row r="28" spans="1:23" s="11" customFormat="1" ht="40.5" customHeight="1" x14ac:dyDescent="0.3">
      <c r="A28" s="8" t="s">
        <v>13</v>
      </c>
      <c r="B28" s="9" t="s">
        <v>336</v>
      </c>
      <c r="C28" s="10" t="s">
        <v>47</v>
      </c>
      <c r="D28" s="10" t="s">
        <v>337</v>
      </c>
      <c r="E28" s="9" t="s">
        <v>334</v>
      </c>
      <c r="F28" s="9" t="s">
        <v>31</v>
      </c>
      <c r="G28" s="10" t="s">
        <v>338</v>
      </c>
      <c r="H28" s="10">
        <f t="shared" si="0"/>
        <v>9</v>
      </c>
      <c r="I28" s="10"/>
      <c r="J28" s="10"/>
      <c r="K28" s="10"/>
      <c r="L28" s="10"/>
      <c r="M28" s="10"/>
      <c r="N28" s="10"/>
      <c r="O28" s="10" t="s">
        <v>13</v>
      </c>
      <c r="P28" s="8"/>
      <c r="Q28" s="8"/>
      <c r="W28" s="11" t="s">
        <v>13</v>
      </c>
    </row>
    <row r="29" spans="1:23" s="11" customFormat="1" ht="40.5" customHeight="1" x14ac:dyDescent="0.3">
      <c r="A29" s="8" t="s">
        <v>13</v>
      </c>
      <c r="B29" s="9" t="s">
        <v>339</v>
      </c>
      <c r="C29" s="10" t="s">
        <v>15</v>
      </c>
      <c r="D29" s="9" t="s">
        <v>340</v>
      </c>
      <c r="E29" s="9" t="s">
        <v>341</v>
      </c>
      <c r="F29" s="9" t="s">
        <v>37</v>
      </c>
      <c r="G29" s="10" t="s">
        <v>140</v>
      </c>
      <c r="H29" s="10">
        <f t="shared" si="0"/>
        <v>18</v>
      </c>
      <c r="I29" s="10"/>
      <c r="J29" s="10"/>
      <c r="K29" s="10"/>
      <c r="L29" s="10"/>
      <c r="M29" s="10"/>
      <c r="N29" s="10"/>
      <c r="O29" s="10" t="s">
        <v>13</v>
      </c>
      <c r="P29" s="8"/>
      <c r="Q29" s="8"/>
      <c r="W29" s="11" t="s">
        <v>13</v>
      </c>
    </row>
    <row r="30" spans="1:23" s="11" customFormat="1" ht="40.5" customHeight="1" x14ac:dyDescent="0.3">
      <c r="A30" s="8" t="s">
        <v>13</v>
      </c>
      <c r="B30" s="9" t="s">
        <v>342</v>
      </c>
      <c r="C30" s="10" t="s">
        <v>15</v>
      </c>
      <c r="D30" s="9" t="s">
        <v>343</v>
      </c>
      <c r="E30" s="9" t="s">
        <v>344</v>
      </c>
      <c r="F30" s="9" t="s">
        <v>27</v>
      </c>
      <c r="G30" s="10" t="s">
        <v>345</v>
      </c>
      <c r="H30" s="10">
        <f t="shared" si="0"/>
        <v>18</v>
      </c>
      <c r="I30" s="10" t="s">
        <v>346</v>
      </c>
      <c r="J30" s="10"/>
      <c r="K30" s="10"/>
      <c r="L30" s="10"/>
      <c r="M30" s="10"/>
      <c r="N30" s="10"/>
      <c r="O30" s="10" t="s">
        <v>13</v>
      </c>
      <c r="P30" s="8"/>
      <c r="Q30" s="8"/>
      <c r="W30" s="11" t="s">
        <v>13</v>
      </c>
    </row>
    <row r="31" spans="1:23" s="11" customFormat="1" ht="40.5" customHeight="1" x14ac:dyDescent="0.3">
      <c r="A31" s="8" t="s">
        <v>13</v>
      </c>
      <c r="B31" s="9" t="s">
        <v>347</v>
      </c>
      <c r="C31" s="10" t="s">
        <v>47</v>
      </c>
      <c r="D31" s="10" t="s">
        <v>348</v>
      </c>
      <c r="E31" s="9" t="s">
        <v>334</v>
      </c>
      <c r="F31" s="9" t="s">
        <v>31</v>
      </c>
      <c r="G31" s="10" t="s">
        <v>349</v>
      </c>
      <c r="H31" s="10">
        <f t="shared" si="0"/>
        <v>9</v>
      </c>
      <c r="I31" s="10"/>
      <c r="J31" s="10"/>
      <c r="K31" s="10"/>
      <c r="L31" s="10"/>
      <c r="M31" s="10"/>
      <c r="N31" s="10"/>
      <c r="O31" s="10" t="s">
        <v>13</v>
      </c>
      <c r="P31" s="8"/>
      <c r="Q31" s="8"/>
      <c r="W31" s="11" t="s">
        <v>13</v>
      </c>
    </row>
    <row r="32" spans="1:23" s="11" customFormat="1" ht="40.5" customHeight="1" x14ac:dyDescent="0.3">
      <c r="A32" s="8" t="s">
        <v>13</v>
      </c>
      <c r="B32" s="9" t="s">
        <v>350</v>
      </c>
      <c r="C32" s="10" t="s">
        <v>15</v>
      </c>
      <c r="D32" s="10" t="s">
        <v>157</v>
      </c>
      <c r="E32" s="10" t="str">
        <f t="shared" ref="E32:F34" si="1">E7</f>
        <v>SUS304 điện hóa</v>
      </c>
      <c r="F32" s="10" t="str">
        <f t="shared" si="1"/>
        <v>CG</v>
      </c>
      <c r="G32" s="10" t="s">
        <v>80</v>
      </c>
      <c r="H32" s="10">
        <f t="shared" si="0"/>
        <v>18</v>
      </c>
      <c r="I32" s="10"/>
      <c r="J32" s="10"/>
      <c r="K32" s="10"/>
      <c r="L32" s="10"/>
      <c r="M32" s="10"/>
      <c r="N32" s="10"/>
      <c r="O32" s="10" t="s">
        <v>13</v>
      </c>
      <c r="P32" s="8"/>
      <c r="Q32" s="8"/>
      <c r="W32" s="11" t="s">
        <v>13</v>
      </c>
    </row>
    <row r="33" spans="1:23" s="11" customFormat="1" ht="40.5" customHeight="1" x14ac:dyDescent="0.3">
      <c r="A33" s="8" t="s">
        <v>13</v>
      </c>
      <c r="B33" s="9" t="s">
        <v>351</v>
      </c>
      <c r="C33" s="10" t="s">
        <v>15</v>
      </c>
      <c r="D33" s="10" t="s">
        <v>165</v>
      </c>
      <c r="E33" s="9" t="str">
        <f t="shared" si="1"/>
        <v>HTBN225S3M-150  --&gt; đổi sang C-HTBN225S3M-150</v>
      </c>
      <c r="F33" s="10" t="str">
        <f t="shared" si="1"/>
        <v>MI</v>
      </c>
      <c r="G33" s="10" t="s">
        <v>83</v>
      </c>
      <c r="H33" s="10">
        <f t="shared" si="0"/>
        <v>18</v>
      </c>
      <c r="I33" s="10" t="str">
        <f>I8</f>
        <v>31/3 và 3/4 nhận đủ hàng</v>
      </c>
      <c r="J33" s="10"/>
      <c r="K33" s="10"/>
      <c r="L33" s="10"/>
      <c r="M33" s="10"/>
      <c r="N33" s="10"/>
      <c r="O33" s="10" t="s">
        <v>13</v>
      </c>
      <c r="P33" s="8"/>
      <c r="Q33" s="8"/>
      <c r="W33" s="11" t="s">
        <v>13</v>
      </c>
    </row>
    <row r="34" spans="1:23" s="11" customFormat="1" ht="40.5" customHeight="1" x14ac:dyDescent="0.3">
      <c r="A34" s="8" t="s">
        <v>13</v>
      </c>
      <c r="B34" s="9" t="s">
        <v>352</v>
      </c>
      <c r="C34" s="10" t="s">
        <v>15</v>
      </c>
      <c r="D34" s="10" t="s">
        <v>159</v>
      </c>
      <c r="E34" s="10" t="str">
        <f t="shared" si="1"/>
        <v>Mica trong</v>
      </c>
      <c r="F34" s="10" t="str">
        <f t="shared" si="1"/>
        <v>GTAM</v>
      </c>
      <c r="G34" s="10" t="s">
        <v>87</v>
      </c>
      <c r="H34" s="10">
        <f t="shared" si="0"/>
        <v>18</v>
      </c>
      <c r="I34" s="10"/>
      <c r="J34" s="10"/>
      <c r="K34" s="10"/>
      <c r="L34" s="10"/>
      <c r="M34" s="10"/>
      <c r="N34" s="10"/>
      <c r="O34" s="10" t="s">
        <v>13</v>
      </c>
      <c r="P34" s="8"/>
      <c r="Q34" s="8"/>
      <c r="W34" s="11" t="s">
        <v>13</v>
      </c>
    </row>
    <row r="35" spans="1:23" s="11" customFormat="1" ht="40.5" customHeight="1" x14ac:dyDescent="0.3">
      <c r="A35" s="8" t="s">
        <v>13</v>
      </c>
      <c r="B35" s="9" t="s">
        <v>353</v>
      </c>
      <c r="C35" s="10" t="s">
        <v>21</v>
      </c>
      <c r="D35" s="9" t="s">
        <v>161</v>
      </c>
      <c r="E35" s="9" t="s">
        <v>71</v>
      </c>
      <c r="F35" s="10" t="str">
        <f>F5</f>
        <v>UP</v>
      </c>
      <c r="G35" s="10" t="s">
        <v>72</v>
      </c>
      <c r="H35" s="10">
        <f t="shared" si="0"/>
        <v>36</v>
      </c>
      <c r="I35" s="10" t="str">
        <f>I5</f>
        <v>đã nhận hàng 30/3</v>
      </c>
      <c r="J35" s="10"/>
      <c r="K35" s="10"/>
      <c r="L35" s="10"/>
      <c r="M35" s="10"/>
      <c r="N35" s="10"/>
      <c r="O35" s="10" t="s">
        <v>13</v>
      </c>
      <c r="P35" s="8"/>
      <c r="Q35" s="8"/>
      <c r="W35" s="11" t="s">
        <v>13</v>
      </c>
    </row>
    <row r="36" spans="1:23" s="11" customFormat="1" ht="40.5" customHeight="1" x14ac:dyDescent="0.3">
      <c r="A36" s="8" t="s">
        <v>13</v>
      </c>
      <c r="B36" s="9" t="s">
        <v>354</v>
      </c>
      <c r="C36" s="10" t="s">
        <v>21</v>
      </c>
      <c r="D36" s="10" t="s">
        <v>163</v>
      </c>
      <c r="E36" s="10" t="str">
        <f>E6</f>
        <v>chốt cài KES3-12</v>
      </c>
      <c r="F36" s="10" t="str">
        <f>F6</f>
        <v>Then cài</v>
      </c>
      <c r="G36" s="10" t="s">
        <v>76</v>
      </c>
      <c r="H36" s="10">
        <f t="shared" si="0"/>
        <v>36</v>
      </c>
      <c r="I36" s="10" t="str">
        <f>'[1]Z0000002-238846 BOM trien k hai'!$I$80</f>
        <v>đã tồn kho sẵn</v>
      </c>
      <c r="J36" s="10"/>
      <c r="K36" s="10"/>
      <c r="L36" s="10"/>
      <c r="M36" s="10"/>
      <c r="N36" s="10"/>
      <c r="O36" s="10" t="s">
        <v>13</v>
      </c>
      <c r="P36" s="8"/>
      <c r="Q36" s="8"/>
      <c r="W36" s="11" t="s">
        <v>13</v>
      </c>
    </row>
    <row r="37" spans="1:23" s="11" customFormat="1" ht="40.5" customHeight="1" x14ac:dyDescent="0.3">
      <c r="A37" s="8" t="s">
        <v>13</v>
      </c>
      <c r="B37" s="9" t="s">
        <v>355</v>
      </c>
      <c r="C37" s="10" t="s">
        <v>15</v>
      </c>
      <c r="D37" s="10" t="s">
        <v>167</v>
      </c>
      <c r="E37" s="10" t="str">
        <f>E3</f>
        <v>động cơ SPG S6I06GX-V12/ bộ điều khiển tốc độ đi kèm</v>
      </c>
      <c r="F37" s="10" t="str">
        <f>F3</f>
        <v>SPG</v>
      </c>
      <c r="G37" s="10" t="s">
        <v>64</v>
      </c>
      <c r="H37" s="10">
        <f t="shared" si="0"/>
        <v>18</v>
      </c>
      <c r="I37" s="10"/>
      <c r="J37" s="10"/>
      <c r="K37" s="10"/>
      <c r="L37" s="10"/>
      <c r="M37" s="10"/>
      <c r="N37" s="10"/>
      <c r="O37" s="10" t="s">
        <v>13</v>
      </c>
      <c r="P37" s="8"/>
      <c r="Q37" s="8"/>
      <c r="W37" s="11" t="s">
        <v>13</v>
      </c>
    </row>
    <row r="38" spans="1:23" s="11" customFormat="1" ht="40.5" customHeight="1" x14ac:dyDescent="0.3">
      <c r="A38" s="8" t="s">
        <v>13</v>
      </c>
      <c r="B38" s="9" t="s">
        <v>356</v>
      </c>
      <c r="C38" s="10" t="s">
        <v>15</v>
      </c>
      <c r="D38" s="9" t="s">
        <v>357</v>
      </c>
      <c r="E38" s="10" t="str">
        <f>E4</f>
        <v>Hộp số SPG S6KA30B</v>
      </c>
      <c r="F38" s="10" t="str">
        <f>F4</f>
        <v>SPG</v>
      </c>
      <c r="G38" s="10" t="s">
        <v>68</v>
      </c>
      <c r="H38" s="10">
        <f t="shared" si="0"/>
        <v>18</v>
      </c>
      <c r="I38" s="10"/>
      <c r="J38" s="10"/>
      <c r="K38" s="10"/>
      <c r="L38" s="10"/>
      <c r="M38" s="10"/>
      <c r="N38" s="10"/>
      <c r="O38" s="10" t="s">
        <v>13</v>
      </c>
      <c r="P38" s="8"/>
      <c r="Q38" s="8"/>
      <c r="W38" s="11" t="s">
        <v>13</v>
      </c>
    </row>
    <row r="39" spans="1:23" s="11" customFormat="1" ht="40.5" customHeight="1" x14ac:dyDescent="0.3">
      <c r="A39" s="8" t="s">
        <v>13</v>
      </c>
      <c r="B39" s="9" t="s">
        <v>358</v>
      </c>
      <c r="C39" s="10" t="s">
        <v>15</v>
      </c>
      <c r="D39" s="10" t="s">
        <v>171</v>
      </c>
      <c r="E39" s="10" t="str">
        <f t="shared" ref="E39:F48" si="2">E10</f>
        <v>AL6061, anode màu đen</v>
      </c>
      <c r="F39" s="10" t="str">
        <f t="shared" si="2"/>
        <v>GTAM</v>
      </c>
      <c r="G39" s="10" t="s">
        <v>90</v>
      </c>
      <c r="H39" s="10">
        <f t="shared" si="0"/>
        <v>18</v>
      </c>
      <c r="I39" s="10"/>
      <c r="J39" s="10"/>
      <c r="K39" s="10"/>
      <c r="L39" s="10"/>
      <c r="M39" s="10"/>
      <c r="N39" s="10"/>
      <c r="O39" s="10" t="s">
        <v>13</v>
      </c>
      <c r="P39" s="8"/>
      <c r="Q39" s="8"/>
      <c r="W39" s="11" t="s">
        <v>13</v>
      </c>
    </row>
    <row r="40" spans="1:23" s="11" customFormat="1" ht="40.5" customHeight="1" x14ac:dyDescent="0.3">
      <c r="A40" s="8" t="s">
        <v>13</v>
      </c>
      <c r="B40" s="9" t="s">
        <v>359</v>
      </c>
      <c r="C40" s="10" t="s">
        <v>15</v>
      </c>
      <c r="D40" s="10" t="s">
        <v>173</v>
      </c>
      <c r="E40" s="10" t="str">
        <f t="shared" si="2"/>
        <v>AL6061, anode màu đen</v>
      </c>
      <c r="F40" s="10" t="str">
        <f t="shared" si="2"/>
        <v>GTAM</v>
      </c>
      <c r="G40" s="10" t="s">
        <v>93</v>
      </c>
      <c r="H40" s="10">
        <f t="shared" si="0"/>
        <v>18</v>
      </c>
      <c r="I40" s="10"/>
      <c r="J40" s="10"/>
      <c r="K40" s="10"/>
      <c r="L40" s="10"/>
      <c r="M40" s="10"/>
      <c r="N40" s="10"/>
      <c r="O40" s="10" t="s">
        <v>13</v>
      </c>
      <c r="P40" s="8"/>
      <c r="Q40" s="8"/>
      <c r="W40" s="11" t="s">
        <v>13</v>
      </c>
    </row>
    <row r="41" spans="1:23" s="11" customFormat="1" ht="40.5" customHeight="1" x14ac:dyDescent="0.3">
      <c r="A41" s="8" t="s">
        <v>13</v>
      </c>
      <c r="B41" s="9" t="s">
        <v>360</v>
      </c>
      <c r="C41" s="10" t="s">
        <v>15</v>
      </c>
      <c r="D41" s="10" t="s">
        <v>175</v>
      </c>
      <c r="E41" s="10" t="str">
        <f t="shared" si="2"/>
        <v>AL6061, anode màu đen</v>
      </c>
      <c r="F41" s="10" t="str">
        <f t="shared" si="2"/>
        <v>GTAM</v>
      </c>
      <c r="G41" s="10" t="s">
        <v>96</v>
      </c>
      <c r="H41" s="10">
        <f t="shared" si="0"/>
        <v>18</v>
      </c>
      <c r="I41" s="10"/>
      <c r="J41" s="10"/>
      <c r="K41" s="10"/>
      <c r="L41" s="10"/>
      <c r="M41" s="10"/>
      <c r="N41" s="10"/>
      <c r="O41" s="10" t="s">
        <v>13</v>
      </c>
      <c r="P41" s="8"/>
      <c r="Q41" s="8"/>
      <c r="W41" s="11" t="s">
        <v>13</v>
      </c>
    </row>
    <row r="42" spans="1:23" s="11" customFormat="1" ht="40.5" customHeight="1" x14ac:dyDescent="0.3">
      <c r="A42" s="8" t="s">
        <v>13</v>
      </c>
      <c r="B42" s="9" t="s">
        <v>361</v>
      </c>
      <c r="C42" s="10" t="s">
        <v>15</v>
      </c>
      <c r="D42" s="10" t="s">
        <v>177</v>
      </c>
      <c r="E42" s="10" t="str">
        <f t="shared" si="2"/>
        <v>SUS304 điện hóa</v>
      </c>
      <c r="F42" s="10" t="str">
        <f t="shared" si="2"/>
        <v>CG</v>
      </c>
      <c r="G42" s="10" t="s">
        <v>99</v>
      </c>
      <c r="H42" s="10">
        <f t="shared" si="0"/>
        <v>18</v>
      </c>
      <c r="I42" s="10"/>
      <c r="J42" s="10"/>
      <c r="K42" s="10"/>
      <c r="L42" s="10"/>
      <c r="M42" s="10"/>
      <c r="N42" s="10"/>
      <c r="O42" s="10" t="s">
        <v>13</v>
      </c>
      <c r="P42" s="8"/>
      <c r="Q42" s="8"/>
      <c r="W42" s="11" t="s">
        <v>13</v>
      </c>
    </row>
    <row r="43" spans="1:23" s="11" customFormat="1" ht="40.5" customHeight="1" x14ac:dyDescent="0.3">
      <c r="A43" s="8" t="s">
        <v>13</v>
      </c>
      <c r="B43" s="9" t="s">
        <v>362</v>
      </c>
      <c r="C43" s="10" t="s">
        <v>15</v>
      </c>
      <c r="D43" s="10" t="s">
        <v>179</v>
      </c>
      <c r="E43" s="10" t="str">
        <f t="shared" si="2"/>
        <v>AL6061, anode màu đen</v>
      </c>
      <c r="F43" s="10" t="str">
        <f t="shared" si="2"/>
        <v>GTAM</v>
      </c>
      <c r="G43" s="10" t="s">
        <v>102</v>
      </c>
      <c r="H43" s="10">
        <f t="shared" si="0"/>
        <v>18</v>
      </c>
      <c r="I43" s="10"/>
      <c r="J43" s="10"/>
      <c r="K43" s="10"/>
      <c r="L43" s="10"/>
      <c r="M43" s="10"/>
      <c r="N43" s="10"/>
      <c r="O43" s="10" t="s">
        <v>13</v>
      </c>
      <c r="P43" s="8"/>
      <c r="Q43" s="8"/>
      <c r="W43" s="11" t="s">
        <v>13</v>
      </c>
    </row>
    <row r="44" spans="1:23" s="11" customFormat="1" ht="40.5" customHeight="1" x14ac:dyDescent="0.3">
      <c r="A44" s="8" t="s">
        <v>13</v>
      </c>
      <c r="B44" s="9" t="s">
        <v>363</v>
      </c>
      <c r="C44" s="10" t="s">
        <v>15</v>
      </c>
      <c r="D44" s="10" t="s">
        <v>181</v>
      </c>
      <c r="E44" s="10" t="str">
        <f t="shared" si="2"/>
        <v>SUS304 điện hóa</v>
      </c>
      <c r="F44" s="10" t="str">
        <f t="shared" si="2"/>
        <v>CG</v>
      </c>
      <c r="G44" s="10" t="s">
        <v>105</v>
      </c>
      <c r="H44" s="10">
        <f t="shared" si="0"/>
        <v>18</v>
      </c>
      <c r="I44" s="10"/>
      <c r="J44" s="10"/>
      <c r="K44" s="10"/>
      <c r="L44" s="10"/>
      <c r="M44" s="10"/>
      <c r="N44" s="10"/>
      <c r="O44" s="10" t="s">
        <v>13</v>
      </c>
      <c r="P44" s="8"/>
      <c r="Q44" s="8"/>
      <c r="W44" s="11" t="s">
        <v>13</v>
      </c>
    </row>
    <row r="45" spans="1:23" s="11" customFormat="1" ht="40.5" customHeight="1" x14ac:dyDescent="0.3">
      <c r="A45" s="8" t="s">
        <v>13</v>
      </c>
      <c r="B45" s="9" t="s">
        <v>364</v>
      </c>
      <c r="C45" s="10" t="s">
        <v>21</v>
      </c>
      <c r="D45" s="9" t="s">
        <v>365</v>
      </c>
      <c r="E45" s="10" t="str">
        <f t="shared" si="2"/>
        <v>vòng bi B6900ZZ</v>
      </c>
      <c r="F45" s="10" t="str">
        <f t="shared" si="2"/>
        <v>VB</v>
      </c>
      <c r="G45" s="10" t="s">
        <v>306</v>
      </c>
      <c r="H45" s="10">
        <f t="shared" si="0"/>
        <v>36</v>
      </c>
      <c r="I45" s="10" t="str">
        <f>I16</f>
        <v>hàng đã về</v>
      </c>
      <c r="J45" s="10"/>
      <c r="K45" s="10"/>
      <c r="L45" s="10"/>
      <c r="M45" s="10"/>
      <c r="N45" s="10"/>
      <c r="O45" s="10" t="s">
        <v>13</v>
      </c>
      <c r="P45" s="8"/>
      <c r="Q45" s="8"/>
      <c r="W45" s="11" t="s">
        <v>13</v>
      </c>
    </row>
    <row r="46" spans="1:23" s="11" customFormat="1" ht="40.5" customHeight="1" x14ac:dyDescent="0.3">
      <c r="A46" s="8" t="s">
        <v>13</v>
      </c>
      <c r="B46" s="9" t="s">
        <v>366</v>
      </c>
      <c r="C46" s="10" t="s">
        <v>21</v>
      </c>
      <c r="D46" s="10" t="s">
        <v>146</v>
      </c>
      <c r="E46" s="10" t="str">
        <f t="shared" si="2"/>
        <v>AL6061, anode màu đen</v>
      </c>
      <c r="F46" s="10" t="str">
        <f t="shared" si="2"/>
        <v>GTAM</v>
      </c>
      <c r="G46" s="10" t="s">
        <v>42</v>
      </c>
      <c r="H46" s="10">
        <f t="shared" si="0"/>
        <v>36</v>
      </c>
      <c r="I46" s="10"/>
      <c r="J46" s="10"/>
      <c r="K46" s="10"/>
      <c r="L46" s="10"/>
      <c r="M46" s="10"/>
      <c r="N46" s="10"/>
      <c r="O46" s="10" t="s">
        <v>13</v>
      </c>
      <c r="P46" s="8"/>
      <c r="Q46" s="8"/>
      <c r="W46" s="11" t="s">
        <v>13</v>
      </c>
    </row>
    <row r="47" spans="1:23" s="11" customFormat="1" ht="40.5" customHeight="1" x14ac:dyDescent="0.3">
      <c r="A47" s="8" t="s">
        <v>13</v>
      </c>
      <c r="B47" s="9" t="s">
        <v>367</v>
      </c>
      <c r="C47" s="10" t="s">
        <v>21</v>
      </c>
      <c r="D47" s="10" t="s">
        <v>148</v>
      </c>
      <c r="E47" s="10" t="str">
        <f t="shared" si="2"/>
        <v>AL6061, anode màu đen</v>
      </c>
      <c r="F47" s="10" t="str">
        <f t="shared" si="2"/>
        <v>GTAM</v>
      </c>
      <c r="G47" s="10" t="s">
        <v>45</v>
      </c>
      <c r="H47" s="10">
        <f t="shared" si="0"/>
        <v>36</v>
      </c>
      <c r="I47" s="10"/>
      <c r="J47" s="10"/>
      <c r="K47" s="10"/>
      <c r="L47" s="10"/>
      <c r="M47" s="10"/>
      <c r="N47" s="10"/>
      <c r="O47" s="10" t="s">
        <v>13</v>
      </c>
      <c r="P47" s="8"/>
      <c r="Q47" s="8"/>
      <c r="W47" s="11" t="s">
        <v>13</v>
      </c>
    </row>
    <row r="48" spans="1:23" s="11" customFormat="1" ht="40.5" customHeight="1" x14ac:dyDescent="0.3">
      <c r="A48" s="8" t="s">
        <v>13</v>
      </c>
      <c r="B48" s="9" t="s">
        <v>368</v>
      </c>
      <c r="C48" s="10" t="s">
        <v>15</v>
      </c>
      <c r="D48" s="10" t="s">
        <v>150</v>
      </c>
      <c r="E48" s="10" t="str">
        <f t="shared" si="2"/>
        <v>AL6061, anode màu đen</v>
      </c>
      <c r="F48" s="10" t="str">
        <f t="shared" si="2"/>
        <v>GTAM</v>
      </c>
      <c r="G48" s="10" t="s">
        <v>49</v>
      </c>
      <c r="H48" s="10">
        <f t="shared" si="0"/>
        <v>18</v>
      </c>
      <c r="I48" s="10"/>
      <c r="J48" s="10"/>
      <c r="K48" s="10"/>
      <c r="L48" s="10"/>
      <c r="M48" s="10"/>
      <c r="N48" s="10"/>
      <c r="O48" s="10" t="s">
        <v>13</v>
      </c>
      <c r="P48" s="8"/>
      <c r="Q48" s="8"/>
      <c r="W48" s="11" t="s">
        <v>13</v>
      </c>
    </row>
    <row r="49" spans="1:23" s="11" customFormat="1" ht="40.5" customHeight="1" x14ac:dyDescent="0.3">
      <c r="A49" s="8" t="s">
        <v>13</v>
      </c>
      <c r="B49" s="9" t="s">
        <v>369</v>
      </c>
      <c r="C49" s="10" t="s">
        <v>15</v>
      </c>
      <c r="D49" s="10" t="s">
        <v>370</v>
      </c>
      <c r="E49" s="10" t="str">
        <f>E20</f>
        <v>belt PU chống tĩnh điện, màu đen, dày 1.5mm, bản rộng 226mm, chu vi 600mm ( đo mép trong 606mm, đai căn chỉnh ở giữa)</v>
      </c>
      <c r="F49" s="10" t="str">
        <f>F20</f>
        <v>Yongli</v>
      </c>
      <c r="G49" s="10" t="s">
        <v>316</v>
      </c>
      <c r="H49" s="10">
        <f t="shared" si="0"/>
        <v>18</v>
      </c>
      <c r="I49" s="10" t="str">
        <f>I20</f>
        <v>đã chốt đặt hàng</v>
      </c>
      <c r="J49" s="10"/>
      <c r="K49" s="10"/>
      <c r="L49" s="10"/>
      <c r="M49" s="10"/>
      <c r="N49" s="10"/>
      <c r="O49" s="10" t="s">
        <v>13</v>
      </c>
      <c r="P49" s="8"/>
      <c r="Q49" s="8"/>
      <c r="W49" s="11" t="s">
        <v>13</v>
      </c>
    </row>
    <row r="50" spans="1:23" s="11" customFormat="1" ht="40.5" customHeight="1" x14ac:dyDescent="0.3">
      <c r="A50" s="8" t="s">
        <v>13</v>
      </c>
      <c r="B50" s="9" t="s">
        <v>371</v>
      </c>
      <c r="C50" s="10" t="s">
        <v>15</v>
      </c>
      <c r="D50" s="10" t="s">
        <v>372</v>
      </c>
      <c r="E50" s="10" t="str">
        <f>E22</f>
        <v>AL6061, anode màu đen</v>
      </c>
      <c r="F50" s="10" t="str">
        <f>F22</f>
        <v>GTAM</v>
      </c>
      <c r="G50" s="10" t="s">
        <v>319</v>
      </c>
      <c r="H50" s="10">
        <f t="shared" si="0"/>
        <v>18</v>
      </c>
      <c r="I50" s="10"/>
      <c r="J50" s="10"/>
      <c r="K50" s="10"/>
      <c r="L50" s="10"/>
      <c r="M50" s="10"/>
      <c r="N50" s="10"/>
      <c r="O50" s="10" t="s">
        <v>13</v>
      </c>
      <c r="P50" s="8"/>
      <c r="Q50" s="8"/>
      <c r="W50" s="11" t="s">
        <v>13</v>
      </c>
    </row>
    <row r="51" spans="1:23" s="11" customFormat="1" ht="40.5" customHeight="1" x14ac:dyDescent="0.3">
      <c r="A51" s="8" t="s">
        <v>13</v>
      </c>
      <c r="B51" s="9" t="s">
        <v>373</v>
      </c>
      <c r="C51" s="10" t="s">
        <v>15</v>
      </c>
      <c r="D51" s="10" t="s">
        <v>374</v>
      </c>
      <c r="E51" s="10" t="str">
        <f>E50</f>
        <v>AL6061, anode màu đen</v>
      </c>
      <c r="F51" s="10" t="str">
        <f>F50</f>
        <v>GTAM</v>
      </c>
      <c r="G51" s="10" t="s">
        <v>319</v>
      </c>
      <c r="H51" s="10">
        <f t="shared" si="0"/>
        <v>18</v>
      </c>
      <c r="I51" s="10"/>
      <c r="J51" s="10"/>
      <c r="K51" s="10"/>
      <c r="L51" s="10"/>
      <c r="M51" s="10"/>
      <c r="N51" s="10"/>
      <c r="O51" s="10" t="s">
        <v>13</v>
      </c>
      <c r="P51" s="8"/>
      <c r="Q51" s="8"/>
      <c r="W51" s="11" t="s">
        <v>13</v>
      </c>
    </row>
    <row r="52" spans="1:23" s="11" customFormat="1" ht="40.5" customHeight="1" x14ac:dyDescent="0.3">
      <c r="A52" s="8" t="s">
        <v>13</v>
      </c>
      <c r="B52" s="9" t="s">
        <v>375</v>
      </c>
      <c r="C52" s="10" t="s">
        <v>21</v>
      </c>
      <c r="D52" s="10" t="s">
        <v>200</v>
      </c>
      <c r="E52" s="10" t="str">
        <f>E23</f>
        <v>AL6061, anode màu đen</v>
      </c>
      <c r="F52" s="10" t="str">
        <f>F23</f>
        <v>GTAM</v>
      </c>
      <c r="G52" s="10" t="s">
        <v>136</v>
      </c>
      <c r="H52" s="10">
        <f t="shared" si="0"/>
        <v>36</v>
      </c>
      <c r="I52" s="10"/>
      <c r="J52" s="10"/>
      <c r="K52" s="10"/>
      <c r="L52" s="10"/>
      <c r="M52" s="10"/>
      <c r="N52" s="10"/>
      <c r="O52" s="10" t="s">
        <v>13</v>
      </c>
      <c r="P52" s="8"/>
      <c r="Q52" s="8"/>
      <c r="W52" s="11" t="s">
        <v>13</v>
      </c>
    </row>
    <row r="53" spans="1:23" s="11" customFormat="1" ht="40.5" customHeight="1" x14ac:dyDescent="0.3">
      <c r="A53" s="8" t="s">
        <v>13</v>
      </c>
      <c r="B53" s="9" t="s">
        <v>376</v>
      </c>
      <c r="C53" s="10" t="s">
        <v>15</v>
      </c>
      <c r="D53" s="10" t="s">
        <v>377</v>
      </c>
      <c r="E53" s="10" t="str">
        <f>E24</f>
        <v>SUS304 điện hóa</v>
      </c>
      <c r="F53" s="10" t="str">
        <f>F24</f>
        <v>CG</v>
      </c>
      <c r="G53" s="10" t="s">
        <v>326</v>
      </c>
      <c r="H53" s="10">
        <f t="shared" si="0"/>
        <v>18</v>
      </c>
      <c r="I53" s="10"/>
      <c r="J53" s="10"/>
      <c r="K53" s="10"/>
      <c r="L53" s="10"/>
      <c r="M53" s="10"/>
      <c r="N53" s="10"/>
      <c r="O53" s="10" t="s">
        <v>13</v>
      </c>
      <c r="P53" s="8"/>
      <c r="Q53" s="8"/>
      <c r="W53" s="11" t="s">
        <v>13</v>
      </c>
    </row>
    <row r="54" spans="1:23" s="11" customFormat="1" ht="40.5" customHeight="1" x14ac:dyDescent="0.3">
      <c r="A54" s="8" t="s">
        <v>13</v>
      </c>
      <c r="B54" s="9" t="s">
        <v>378</v>
      </c>
      <c r="C54" s="10" t="s">
        <v>15</v>
      </c>
      <c r="D54" s="10" t="s">
        <v>379</v>
      </c>
      <c r="E54" s="10" t="str">
        <f>E26</f>
        <v>SUS304 điện hóa</v>
      </c>
      <c r="F54" s="10" t="str">
        <f>F26</f>
        <v>CG</v>
      </c>
      <c r="G54" s="10" t="s">
        <v>329</v>
      </c>
      <c r="H54" s="10">
        <f t="shared" si="0"/>
        <v>18</v>
      </c>
      <c r="I54" s="10"/>
      <c r="J54" s="10"/>
      <c r="K54" s="10"/>
      <c r="L54" s="10"/>
      <c r="M54" s="10"/>
      <c r="N54" s="10"/>
      <c r="O54" s="10" t="s">
        <v>13</v>
      </c>
      <c r="P54" s="8"/>
      <c r="Q54" s="8"/>
      <c r="W54" s="11" t="s">
        <v>13</v>
      </c>
    </row>
    <row r="55" spans="1:23" s="11" customFormat="1" ht="40.5" customHeight="1" x14ac:dyDescent="0.3">
      <c r="A55" s="8" t="s">
        <v>13</v>
      </c>
      <c r="B55" s="9" t="s">
        <v>380</v>
      </c>
      <c r="C55" s="10" t="s">
        <v>15</v>
      </c>
      <c r="D55" s="10" t="s">
        <v>381</v>
      </c>
      <c r="E55" s="10" t="str">
        <f>E54</f>
        <v>SUS304 điện hóa</v>
      </c>
      <c r="F55" s="10" t="str">
        <f>F54</f>
        <v>CG</v>
      </c>
      <c r="G55" s="10" t="s">
        <v>329</v>
      </c>
      <c r="H55" s="10">
        <f t="shared" si="0"/>
        <v>18</v>
      </c>
      <c r="I55" s="10"/>
      <c r="J55" s="10"/>
      <c r="K55" s="10"/>
      <c r="L55" s="10"/>
      <c r="M55" s="10"/>
      <c r="N55" s="10"/>
      <c r="O55" s="10" t="s">
        <v>13</v>
      </c>
      <c r="P55" s="8"/>
      <c r="Q55" s="8"/>
      <c r="W55" s="11" t="s">
        <v>13</v>
      </c>
    </row>
    <row r="56" spans="1:23" s="11" customFormat="1" ht="40.5" customHeight="1" x14ac:dyDescent="0.3">
      <c r="A56" s="8" t="s">
        <v>13</v>
      </c>
      <c r="B56" s="9" t="s">
        <v>382</v>
      </c>
      <c r="C56" s="10" t="s">
        <v>15</v>
      </c>
      <c r="D56" s="10" t="s">
        <v>383</v>
      </c>
      <c r="E56" s="10" t="str">
        <f t="shared" ref="E56:F60" si="3">E27</f>
        <v>ct trục, SUS304 điện hóa/ S45C mạ nikel</v>
      </c>
      <c r="F56" s="10" t="str">
        <f t="shared" si="3"/>
        <v>PG</v>
      </c>
      <c r="G56" s="10" t="s">
        <v>335</v>
      </c>
      <c r="H56" s="10">
        <f t="shared" si="0"/>
        <v>18</v>
      </c>
      <c r="I56" s="10"/>
      <c r="J56" s="10"/>
      <c r="K56" s="10"/>
      <c r="L56" s="10"/>
      <c r="M56" s="10"/>
      <c r="N56" s="10"/>
      <c r="O56" s="10" t="s">
        <v>13</v>
      </c>
      <c r="P56" s="8"/>
      <c r="Q56" s="8"/>
      <c r="W56" s="11" t="s">
        <v>13</v>
      </c>
    </row>
    <row r="57" spans="1:23" s="11" customFormat="1" ht="40.5" customHeight="1" x14ac:dyDescent="0.3">
      <c r="A57" s="8" t="s">
        <v>13</v>
      </c>
      <c r="B57" s="9" t="s">
        <v>384</v>
      </c>
      <c r="C57" s="10" t="s">
        <v>15</v>
      </c>
      <c r="D57" s="10" t="s">
        <v>385</v>
      </c>
      <c r="E57" s="10" t="str">
        <f t="shared" si="3"/>
        <v>ct trục, SUS304 điện hóa/ S45C mạ nikel</v>
      </c>
      <c r="F57" s="10" t="str">
        <f t="shared" si="3"/>
        <v>PG</v>
      </c>
      <c r="G57" s="10" t="s">
        <v>338</v>
      </c>
      <c r="H57" s="10">
        <f t="shared" si="0"/>
        <v>18</v>
      </c>
      <c r="I57" s="10"/>
      <c r="J57" s="10"/>
      <c r="K57" s="10"/>
      <c r="L57" s="10"/>
      <c r="M57" s="10"/>
      <c r="N57" s="10"/>
      <c r="O57" s="10" t="s">
        <v>13</v>
      </c>
      <c r="P57" s="8"/>
      <c r="Q57" s="8"/>
      <c r="W57" s="11" t="s">
        <v>13</v>
      </c>
    </row>
    <row r="58" spans="1:23" s="11" customFormat="1" ht="40.5" customHeight="1" x14ac:dyDescent="0.3">
      <c r="A58" s="8" t="s">
        <v>13</v>
      </c>
      <c r="B58" s="9" t="s">
        <v>386</v>
      </c>
      <c r="C58" s="10" t="s">
        <v>21</v>
      </c>
      <c r="D58" s="10" t="s">
        <v>202</v>
      </c>
      <c r="E58" s="10" t="str">
        <f t="shared" si="3"/>
        <v>Vòng bi B6000ZZ</v>
      </c>
      <c r="F58" s="10" t="str">
        <f t="shared" si="3"/>
        <v>VB</v>
      </c>
      <c r="G58" s="10" t="s">
        <v>140</v>
      </c>
      <c r="H58" s="10">
        <f t="shared" si="0"/>
        <v>36</v>
      </c>
      <c r="I58" s="10"/>
      <c r="J58" s="10"/>
      <c r="K58" s="10"/>
      <c r="L58" s="10"/>
      <c r="M58" s="10"/>
      <c r="N58" s="10"/>
      <c r="O58" s="10" t="s">
        <v>13</v>
      </c>
      <c r="P58" s="8"/>
      <c r="Q58" s="8"/>
      <c r="W58" s="11" t="s">
        <v>13</v>
      </c>
    </row>
    <row r="59" spans="1:23" s="11" customFormat="1" ht="40.5" customHeight="1" x14ac:dyDescent="0.3">
      <c r="A59" s="8" t="s">
        <v>13</v>
      </c>
      <c r="B59" s="9" t="s">
        <v>387</v>
      </c>
      <c r="C59" s="10" t="s">
        <v>21</v>
      </c>
      <c r="D59" s="10" t="s">
        <v>388</v>
      </c>
      <c r="E59" s="10" t="str">
        <f t="shared" si="3"/>
        <v>phanh trục STWN10</v>
      </c>
      <c r="F59" s="10" t="str">
        <f t="shared" si="3"/>
        <v>PT- Phanh trục</v>
      </c>
      <c r="G59" s="10" t="s">
        <v>345</v>
      </c>
      <c r="H59" s="10">
        <f t="shared" si="0"/>
        <v>36</v>
      </c>
      <c r="I59" s="10" t="str">
        <f>I30</f>
        <v>Tồn kho sẵn</v>
      </c>
      <c r="J59" s="10"/>
      <c r="K59" s="10"/>
      <c r="L59" s="10"/>
      <c r="M59" s="10"/>
      <c r="N59" s="10"/>
      <c r="O59" s="10" t="s">
        <v>13</v>
      </c>
      <c r="P59" s="8"/>
      <c r="Q59" s="8"/>
      <c r="W59" s="11" t="s">
        <v>13</v>
      </c>
    </row>
    <row r="60" spans="1:23" s="11" customFormat="1" ht="40.5" customHeight="1" x14ac:dyDescent="0.3">
      <c r="A60" s="8" t="s">
        <v>13</v>
      </c>
      <c r="B60" s="9" t="s">
        <v>389</v>
      </c>
      <c r="C60" s="10" t="s">
        <v>15</v>
      </c>
      <c r="D60" s="10" t="s">
        <v>390</v>
      </c>
      <c r="E60" s="10" t="str">
        <f t="shared" si="3"/>
        <v>ct trục, SUS304 điện hóa/ S45C mạ nikel</v>
      </c>
      <c r="F60" s="10" t="str">
        <f t="shared" si="3"/>
        <v>PG</v>
      </c>
      <c r="G60" s="10" t="s">
        <v>349</v>
      </c>
      <c r="H60" s="10">
        <f t="shared" si="0"/>
        <v>18</v>
      </c>
      <c r="I60" s="10"/>
      <c r="J60" s="10"/>
      <c r="K60" s="10"/>
      <c r="L60" s="10"/>
      <c r="M60" s="10"/>
      <c r="N60" s="10"/>
      <c r="O60" s="10" t="s">
        <v>13</v>
      </c>
      <c r="P60" s="8"/>
      <c r="Q60" s="8"/>
      <c r="W60" s="11" t="s">
        <v>13</v>
      </c>
    </row>
    <row r="61" spans="1:23" s="11" customFormat="1" ht="40.5" customHeight="1" x14ac:dyDescent="0.3">
      <c r="A61" s="8" t="s">
        <v>13</v>
      </c>
      <c r="B61" s="9" t="s">
        <v>391</v>
      </c>
      <c r="C61" s="10" t="s">
        <v>47</v>
      </c>
      <c r="D61" s="10" t="s">
        <v>392</v>
      </c>
      <c r="E61" s="10" t="str">
        <f>E37</f>
        <v>động cơ SPG S6I06GX-V12/ bộ điều khiển tốc độ đi kèm</v>
      </c>
      <c r="F61" s="10" t="str">
        <f>F37</f>
        <v>SPG</v>
      </c>
      <c r="G61" s="10" t="s">
        <v>64</v>
      </c>
      <c r="H61" s="10">
        <f t="shared" si="0"/>
        <v>9</v>
      </c>
      <c r="I61" s="10"/>
      <c r="J61" s="10"/>
      <c r="K61" s="10"/>
      <c r="L61" s="10"/>
      <c r="M61" s="10"/>
      <c r="N61" s="10"/>
      <c r="O61" s="10" t="s">
        <v>13</v>
      </c>
      <c r="P61" s="8"/>
      <c r="Q61" s="8"/>
      <c r="W61" s="11" t="s">
        <v>13</v>
      </c>
    </row>
    <row r="62" spans="1:23" s="11" customFormat="1" ht="40.5" customHeight="1" x14ac:dyDescent="0.3">
      <c r="A62" s="8" t="s">
        <v>13</v>
      </c>
      <c r="B62" s="9" t="s">
        <v>393</v>
      </c>
      <c r="C62" s="10" t="s">
        <v>47</v>
      </c>
      <c r="D62" s="10" t="s">
        <v>394</v>
      </c>
      <c r="E62" s="10" t="str">
        <f>E38</f>
        <v>Hộp số SPG S6KA30B</v>
      </c>
      <c r="F62" s="10" t="str">
        <f>F38</f>
        <v>SPG</v>
      </c>
      <c r="G62" s="10" t="s">
        <v>68</v>
      </c>
      <c r="H62" s="10">
        <f t="shared" si="0"/>
        <v>9</v>
      </c>
      <c r="I62" s="10"/>
      <c r="J62" s="10"/>
      <c r="K62" s="10"/>
      <c r="L62" s="10"/>
      <c r="M62" s="10"/>
      <c r="N62" s="10"/>
      <c r="O62" s="10" t="s">
        <v>13</v>
      </c>
      <c r="P62" s="8"/>
      <c r="Q62" s="8"/>
      <c r="W62" s="11" t="s">
        <v>13</v>
      </c>
    </row>
    <row r="63" spans="1:23" s="11" customFormat="1" ht="40.5" customHeight="1" x14ac:dyDescent="0.3">
      <c r="A63" s="8" t="s">
        <v>13</v>
      </c>
      <c r="B63" s="9" t="s">
        <v>395</v>
      </c>
      <c r="C63" s="10" t="s">
        <v>15</v>
      </c>
      <c r="D63" s="9" t="s">
        <v>396</v>
      </c>
      <c r="E63" s="9" t="s">
        <v>71</v>
      </c>
      <c r="F63" s="10" t="str">
        <f>F35</f>
        <v>UP</v>
      </c>
      <c r="G63" s="10" t="s">
        <v>72</v>
      </c>
      <c r="H63" s="10">
        <f t="shared" si="0"/>
        <v>18</v>
      </c>
      <c r="I63" s="10" t="str">
        <f>I35</f>
        <v>đã nhận hàng 30/3</v>
      </c>
      <c r="J63" s="10"/>
      <c r="K63" s="10"/>
      <c r="L63" s="10"/>
      <c r="M63" s="10"/>
      <c r="N63" s="10"/>
      <c r="O63" s="10" t="s">
        <v>13</v>
      </c>
      <c r="P63" s="8"/>
      <c r="Q63" s="8"/>
      <c r="W63" s="11" t="s">
        <v>13</v>
      </c>
    </row>
    <row r="64" spans="1:23" s="11" customFormat="1" ht="40.5" customHeight="1" x14ac:dyDescent="0.3">
      <c r="A64" s="8" t="s">
        <v>13</v>
      </c>
      <c r="B64" s="9" t="s">
        <v>397</v>
      </c>
      <c r="C64" s="10" t="s">
        <v>15</v>
      </c>
      <c r="D64" s="10" t="s">
        <v>398</v>
      </c>
      <c r="E64" s="10" t="str">
        <f>E36</f>
        <v>chốt cài KES3-12</v>
      </c>
      <c r="F64" s="10" t="str">
        <f>F36</f>
        <v>Then cài</v>
      </c>
      <c r="G64" s="10" t="s">
        <v>76</v>
      </c>
      <c r="H64" s="10">
        <f t="shared" si="0"/>
        <v>18</v>
      </c>
      <c r="I64" s="10" t="str">
        <f>I36</f>
        <v>đã tồn kho sẵn</v>
      </c>
      <c r="J64" s="10"/>
      <c r="K64" s="10"/>
      <c r="L64" s="10"/>
      <c r="M64" s="10"/>
      <c r="N64" s="10"/>
      <c r="O64" s="10" t="s">
        <v>13</v>
      </c>
      <c r="P64" s="8"/>
      <c r="Q64" s="8"/>
      <c r="W64" s="11" t="s">
        <v>13</v>
      </c>
    </row>
    <row r="65" spans="1:23" s="11" customFormat="1" ht="40.5" customHeight="1" x14ac:dyDescent="0.3">
      <c r="A65" s="8" t="s">
        <v>13</v>
      </c>
      <c r="B65" s="9" t="s">
        <v>399</v>
      </c>
      <c r="C65" s="10" t="s">
        <v>47</v>
      </c>
      <c r="D65" s="10" t="s">
        <v>400</v>
      </c>
      <c r="E65" s="10" t="str">
        <f>E32</f>
        <v>SUS304 điện hóa</v>
      </c>
      <c r="F65" s="10" t="str">
        <f>F7</f>
        <v>CG</v>
      </c>
      <c r="G65" s="10" t="s">
        <v>80</v>
      </c>
      <c r="H65" s="10">
        <f t="shared" si="0"/>
        <v>9</v>
      </c>
      <c r="I65" s="10"/>
      <c r="J65" s="10"/>
      <c r="K65" s="10"/>
      <c r="L65" s="10"/>
      <c r="M65" s="10"/>
      <c r="N65" s="10"/>
      <c r="O65" s="10" t="s">
        <v>13</v>
      </c>
      <c r="P65" s="8"/>
      <c r="Q65" s="8"/>
      <c r="W65" s="11" t="s">
        <v>13</v>
      </c>
    </row>
    <row r="66" spans="1:23" s="11" customFormat="1" ht="40.5" customHeight="1" x14ac:dyDescent="0.3">
      <c r="A66" s="8" t="s">
        <v>13</v>
      </c>
      <c r="B66" s="9" t="s">
        <v>401</v>
      </c>
      <c r="C66" s="10" t="s">
        <v>47</v>
      </c>
      <c r="D66" s="10" t="s">
        <v>402</v>
      </c>
      <c r="E66" s="9" t="str">
        <f>E33</f>
        <v>HTBN225S3M-150  --&gt; đổi sang C-HTBN225S3M-150</v>
      </c>
      <c r="F66" s="10" t="str">
        <f>F33</f>
        <v>MI</v>
      </c>
      <c r="G66" s="10" t="s">
        <v>83</v>
      </c>
      <c r="H66" s="10">
        <f t="shared" si="0"/>
        <v>9</v>
      </c>
      <c r="I66" s="10" t="str">
        <f>I33</f>
        <v>31/3 và 3/4 nhận đủ hàng</v>
      </c>
      <c r="J66" s="10"/>
      <c r="K66" s="10"/>
      <c r="L66" s="10"/>
      <c r="M66" s="10"/>
      <c r="N66" s="10"/>
      <c r="O66" s="10" t="s">
        <v>13</v>
      </c>
      <c r="P66" s="8"/>
      <c r="Q66" s="8"/>
      <c r="W66" s="11" t="s">
        <v>13</v>
      </c>
    </row>
    <row r="67" spans="1:23" s="11" customFormat="1" ht="40.5" customHeight="1" x14ac:dyDescent="0.3">
      <c r="A67" s="8" t="s">
        <v>13</v>
      </c>
      <c r="B67" s="9" t="s">
        <v>403</v>
      </c>
      <c r="C67" s="10" t="s">
        <v>47</v>
      </c>
      <c r="D67" s="10" t="s">
        <v>404</v>
      </c>
      <c r="E67" s="10" t="str">
        <f>E34</f>
        <v>Mica trong</v>
      </c>
      <c r="F67" s="10" t="str">
        <f>F34</f>
        <v>GTAM</v>
      </c>
      <c r="G67" s="10" t="s">
        <v>87</v>
      </c>
      <c r="H67" s="10">
        <f t="shared" si="0"/>
        <v>9</v>
      </c>
      <c r="I67" s="10"/>
      <c r="J67" s="10"/>
      <c r="K67" s="10"/>
      <c r="L67" s="10"/>
      <c r="M67" s="10"/>
      <c r="N67" s="10"/>
      <c r="O67" s="10" t="s">
        <v>13</v>
      </c>
      <c r="P67" s="8"/>
      <c r="Q67" s="8"/>
      <c r="W67" s="11" t="s">
        <v>13</v>
      </c>
    </row>
    <row r="68" spans="1:23" s="11" customFormat="1" ht="40.5" customHeight="1" x14ac:dyDescent="0.3">
      <c r="A68" s="8" t="s">
        <v>13</v>
      </c>
      <c r="B68" s="9" t="s">
        <v>405</v>
      </c>
      <c r="C68" s="10" t="s">
        <v>47</v>
      </c>
      <c r="D68" s="10" t="s">
        <v>406</v>
      </c>
      <c r="E68" s="10" t="str">
        <f t="shared" ref="E68:F77" si="4">E39</f>
        <v>AL6061, anode màu đen</v>
      </c>
      <c r="F68" s="10" t="str">
        <f t="shared" si="4"/>
        <v>GTAM</v>
      </c>
      <c r="G68" s="10" t="s">
        <v>90</v>
      </c>
      <c r="H68" s="10">
        <f t="shared" ref="H68:H89" si="5">$H$1*C68</f>
        <v>9</v>
      </c>
      <c r="I68" s="10"/>
      <c r="J68" s="10"/>
      <c r="K68" s="10"/>
      <c r="L68" s="10"/>
      <c r="M68" s="10"/>
      <c r="N68" s="10"/>
      <c r="O68" s="10" t="s">
        <v>13</v>
      </c>
      <c r="P68" s="8"/>
      <c r="Q68" s="8"/>
      <c r="W68" s="11" t="s">
        <v>13</v>
      </c>
    </row>
    <row r="69" spans="1:23" s="11" customFormat="1" ht="40.5" customHeight="1" x14ac:dyDescent="0.3">
      <c r="A69" s="8" t="s">
        <v>13</v>
      </c>
      <c r="B69" s="9" t="s">
        <v>407</v>
      </c>
      <c r="C69" s="10" t="s">
        <v>47</v>
      </c>
      <c r="D69" s="10" t="s">
        <v>408</v>
      </c>
      <c r="E69" s="10" t="str">
        <f t="shared" si="4"/>
        <v>AL6061, anode màu đen</v>
      </c>
      <c r="F69" s="10" t="str">
        <f t="shared" si="4"/>
        <v>GTAM</v>
      </c>
      <c r="G69" s="10" t="s">
        <v>93</v>
      </c>
      <c r="H69" s="10">
        <f t="shared" si="5"/>
        <v>9</v>
      </c>
      <c r="I69" s="10"/>
      <c r="J69" s="10"/>
      <c r="K69" s="10"/>
      <c r="L69" s="10"/>
      <c r="M69" s="10"/>
      <c r="N69" s="10"/>
      <c r="O69" s="10" t="s">
        <v>13</v>
      </c>
      <c r="P69" s="8"/>
      <c r="Q69" s="8"/>
      <c r="W69" s="11" t="s">
        <v>13</v>
      </c>
    </row>
    <row r="70" spans="1:23" s="11" customFormat="1" ht="40.5" customHeight="1" x14ac:dyDescent="0.3">
      <c r="A70" s="8" t="s">
        <v>13</v>
      </c>
      <c r="B70" s="9" t="s">
        <v>409</v>
      </c>
      <c r="C70" s="10" t="s">
        <v>47</v>
      </c>
      <c r="D70" s="10" t="s">
        <v>410</v>
      </c>
      <c r="E70" s="10" t="str">
        <f t="shared" si="4"/>
        <v>AL6061, anode màu đen</v>
      </c>
      <c r="F70" s="10" t="str">
        <f t="shared" si="4"/>
        <v>GTAM</v>
      </c>
      <c r="G70" s="10" t="s">
        <v>96</v>
      </c>
      <c r="H70" s="10">
        <f t="shared" si="5"/>
        <v>9</v>
      </c>
      <c r="I70" s="10"/>
      <c r="J70" s="10"/>
      <c r="K70" s="10"/>
      <c r="L70" s="10"/>
      <c r="M70" s="10"/>
      <c r="N70" s="10"/>
      <c r="O70" s="10" t="s">
        <v>13</v>
      </c>
      <c r="P70" s="8"/>
      <c r="Q70" s="8"/>
      <c r="W70" s="11" t="s">
        <v>13</v>
      </c>
    </row>
    <row r="71" spans="1:23" s="11" customFormat="1" ht="40.5" customHeight="1" x14ac:dyDescent="0.3">
      <c r="A71" s="8" t="s">
        <v>13</v>
      </c>
      <c r="B71" s="9" t="s">
        <v>411</v>
      </c>
      <c r="C71" s="10" t="s">
        <v>47</v>
      </c>
      <c r="D71" s="10" t="s">
        <v>412</v>
      </c>
      <c r="E71" s="10" t="str">
        <f t="shared" si="4"/>
        <v>SUS304 điện hóa</v>
      </c>
      <c r="F71" s="10" t="str">
        <f t="shared" si="4"/>
        <v>CG</v>
      </c>
      <c r="G71" s="10" t="s">
        <v>99</v>
      </c>
      <c r="H71" s="10">
        <f t="shared" si="5"/>
        <v>9</v>
      </c>
      <c r="I71" s="10"/>
      <c r="J71" s="10"/>
      <c r="K71" s="10"/>
      <c r="L71" s="10"/>
      <c r="M71" s="10"/>
      <c r="N71" s="10"/>
      <c r="O71" s="10" t="s">
        <v>13</v>
      </c>
      <c r="P71" s="8"/>
      <c r="Q71" s="8"/>
      <c r="W71" s="11" t="s">
        <v>13</v>
      </c>
    </row>
    <row r="72" spans="1:23" s="11" customFormat="1" ht="40.5" customHeight="1" x14ac:dyDescent="0.3">
      <c r="A72" s="8" t="s">
        <v>13</v>
      </c>
      <c r="B72" s="9" t="s">
        <v>413</v>
      </c>
      <c r="C72" s="10" t="s">
        <v>47</v>
      </c>
      <c r="D72" s="10" t="s">
        <v>414</v>
      </c>
      <c r="E72" s="10" t="str">
        <f t="shared" si="4"/>
        <v>AL6061, anode màu đen</v>
      </c>
      <c r="F72" s="10" t="str">
        <f t="shared" si="4"/>
        <v>GTAM</v>
      </c>
      <c r="G72" s="10" t="s">
        <v>102</v>
      </c>
      <c r="H72" s="10">
        <f t="shared" si="5"/>
        <v>9</v>
      </c>
      <c r="I72" s="10"/>
      <c r="J72" s="10"/>
      <c r="K72" s="10"/>
      <c r="L72" s="10"/>
      <c r="M72" s="10"/>
      <c r="N72" s="10"/>
      <c r="O72" s="10" t="s">
        <v>13</v>
      </c>
      <c r="P72" s="8"/>
      <c r="Q72" s="8"/>
      <c r="W72" s="11" t="s">
        <v>13</v>
      </c>
    </row>
    <row r="73" spans="1:23" s="11" customFormat="1" ht="40.5" customHeight="1" x14ac:dyDescent="0.3">
      <c r="A73" s="8" t="s">
        <v>13</v>
      </c>
      <c r="B73" s="9" t="s">
        <v>415</v>
      </c>
      <c r="C73" s="10" t="s">
        <v>47</v>
      </c>
      <c r="D73" s="10" t="s">
        <v>416</v>
      </c>
      <c r="E73" s="10" t="str">
        <f t="shared" si="4"/>
        <v>SUS304 điện hóa</v>
      </c>
      <c r="F73" s="10" t="str">
        <f t="shared" si="4"/>
        <v>CG</v>
      </c>
      <c r="G73" s="10" t="s">
        <v>105</v>
      </c>
      <c r="H73" s="10">
        <f t="shared" si="5"/>
        <v>9</v>
      </c>
      <c r="I73" s="10"/>
      <c r="J73" s="10"/>
      <c r="K73" s="10"/>
      <c r="L73" s="10"/>
      <c r="M73" s="10"/>
      <c r="N73" s="10"/>
      <c r="O73" s="10" t="s">
        <v>13</v>
      </c>
      <c r="P73" s="8"/>
      <c r="Q73" s="8"/>
      <c r="W73" s="11" t="s">
        <v>13</v>
      </c>
    </row>
    <row r="74" spans="1:23" s="11" customFormat="1" ht="40.5" customHeight="1" x14ac:dyDescent="0.3">
      <c r="A74" s="8" t="s">
        <v>13</v>
      </c>
      <c r="B74" s="9" t="s">
        <v>417</v>
      </c>
      <c r="C74" s="10" t="s">
        <v>15</v>
      </c>
      <c r="D74" s="10" t="s">
        <v>418</v>
      </c>
      <c r="E74" s="10" t="str">
        <f t="shared" si="4"/>
        <v>vòng bi B6900ZZ</v>
      </c>
      <c r="F74" s="10" t="str">
        <f t="shared" si="4"/>
        <v>VB</v>
      </c>
      <c r="G74" s="10" t="s">
        <v>306</v>
      </c>
      <c r="H74" s="10">
        <f t="shared" si="5"/>
        <v>18</v>
      </c>
      <c r="I74" s="10" t="str">
        <f>I45</f>
        <v>hàng đã về</v>
      </c>
      <c r="J74" s="10"/>
      <c r="K74" s="10"/>
      <c r="L74" s="10"/>
      <c r="M74" s="10"/>
      <c r="N74" s="10"/>
      <c r="O74" s="10" t="s">
        <v>13</v>
      </c>
      <c r="P74" s="8"/>
      <c r="Q74" s="8"/>
      <c r="W74" s="11" t="s">
        <v>13</v>
      </c>
    </row>
    <row r="75" spans="1:23" s="11" customFormat="1" ht="40.5" customHeight="1" x14ac:dyDescent="0.3">
      <c r="A75" s="8" t="s">
        <v>13</v>
      </c>
      <c r="B75" s="9" t="s">
        <v>419</v>
      </c>
      <c r="C75" s="10" t="s">
        <v>15</v>
      </c>
      <c r="D75" s="10" t="s">
        <v>420</v>
      </c>
      <c r="E75" s="10" t="str">
        <f t="shared" si="4"/>
        <v>AL6061, anode màu đen</v>
      </c>
      <c r="F75" s="10" t="str">
        <f t="shared" si="4"/>
        <v>GTAM</v>
      </c>
      <c r="G75" s="10" t="s">
        <v>42</v>
      </c>
      <c r="H75" s="10">
        <f t="shared" si="5"/>
        <v>18</v>
      </c>
      <c r="I75" s="10"/>
      <c r="J75" s="10"/>
      <c r="K75" s="10"/>
      <c r="L75" s="10"/>
      <c r="M75" s="10"/>
      <c r="N75" s="10"/>
      <c r="O75" s="10" t="s">
        <v>13</v>
      </c>
      <c r="P75" s="8"/>
      <c r="Q75" s="8"/>
      <c r="W75" s="11" t="s">
        <v>13</v>
      </c>
    </row>
    <row r="76" spans="1:23" s="11" customFormat="1" ht="40.5" customHeight="1" x14ac:dyDescent="0.3">
      <c r="A76" s="8" t="s">
        <v>13</v>
      </c>
      <c r="B76" s="9" t="s">
        <v>421</v>
      </c>
      <c r="C76" s="10" t="s">
        <v>15</v>
      </c>
      <c r="D76" s="10" t="s">
        <v>422</v>
      </c>
      <c r="E76" s="10" t="str">
        <f t="shared" si="4"/>
        <v>AL6061, anode màu đen</v>
      </c>
      <c r="F76" s="10" t="str">
        <f t="shared" si="4"/>
        <v>GTAM</v>
      </c>
      <c r="G76" s="10" t="s">
        <v>45</v>
      </c>
      <c r="H76" s="10">
        <f t="shared" si="5"/>
        <v>18</v>
      </c>
      <c r="I76" s="10"/>
      <c r="J76" s="10"/>
      <c r="K76" s="10"/>
      <c r="L76" s="10"/>
      <c r="M76" s="10"/>
      <c r="N76" s="10"/>
      <c r="O76" s="10" t="s">
        <v>13</v>
      </c>
      <c r="P76" s="8"/>
      <c r="Q76" s="8"/>
      <c r="W76" s="11" t="s">
        <v>13</v>
      </c>
    </row>
    <row r="77" spans="1:23" s="11" customFormat="1" ht="40.5" customHeight="1" x14ac:dyDescent="0.3">
      <c r="A77" s="8" t="s">
        <v>13</v>
      </c>
      <c r="B77" s="9" t="s">
        <v>423</v>
      </c>
      <c r="C77" s="10" t="s">
        <v>47</v>
      </c>
      <c r="D77" s="10" t="s">
        <v>424</v>
      </c>
      <c r="E77" s="10" t="str">
        <f t="shared" si="4"/>
        <v>AL6061, anode màu đen</v>
      </c>
      <c r="F77" s="10" t="str">
        <f t="shared" si="4"/>
        <v>GTAM</v>
      </c>
      <c r="G77" s="10" t="s">
        <v>49</v>
      </c>
      <c r="H77" s="10">
        <f t="shared" si="5"/>
        <v>9</v>
      </c>
      <c r="I77" s="10"/>
      <c r="J77" s="10"/>
      <c r="K77" s="10"/>
      <c r="L77" s="10"/>
      <c r="M77" s="10"/>
      <c r="N77" s="10"/>
      <c r="O77" s="10" t="s">
        <v>13</v>
      </c>
      <c r="P77" s="8"/>
      <c r="Q77" s="8"/>
      <c r="W77" s="11" t="s">
        <v>13</v>
      </c>
    </row>
    <row r="78" spans="1:23" s="11" customFormat="1" ht="40.5" customHeight="1" x14ac:dyDescent="0.3">
      <c r="A78" s="8" t="s">
        <v>13</v>
      </c>
      <c r="B78" s="9" t="s">
        <v>425</v>
      </c>
      <c r="C78" s="10" t="s">
        <v>47</v>
      </c>
      <c r="D78" s="10" t="s">
        <v>426</v>
      </c>
      <c r="E78" s="10" t="str">
        <f>E49</f>
        <v>belt PU chống tĩnh điện, màu đen, dày 1.5mm, bản rộng 226mm, chu vi 600mm ( đo mép trong 606mm, đai căn chỉnh ở giữa)</v>
      </c>
      <c r="F78" s="10" t="str">
        <f>F49</f>
        <v>Yongli</v>
      </c>
      <c r="G78" s="10" t="s">
        <v>316</v>
      </c>
      <c r="H78" s="10">
        <f t="shared" si="5"/>
        <v>9</v>
      </c>
      <c r="I78" s="10" t="str">
        <f>I49</f>
        <v>đã chốt đặt hàng</v>
      </c>
      <c r="J78" s="10"/>
      <c r="K78" s="10"/>
      <c r="L78" s="10"/>
      <c r="M78" s="10"/>
      <c r="N78" s="10"/>
      <c r="O78" s="10" t="s">
        <v>13</v>
      </c>
      <c r="P78" s="8"/>
      <c r="Q78" s="8"/>
      <c r="W78" s="11" t="s">
        <v>13</v>
      </c>
    </row>
    <row r="79" spans="1:23" s="11" customFormat="1" ht="40.5" customHeight="1" x14ac:dyDescent="0.3">
      <c r="A79" s="8" t="s">
        <v>13</v>
      </c>
      <c r="B79" s="9" t="s">
        <v>427</v>
      </c>
      <c r="C79" s="10" t="s">
        <v>47</v>
      </c>
      <c r="D79" s="10" t="s">
        <v>428</v>
      </c>
      <c r="E79" s="10" t="str">
        <f>E51</f>
        <v>AL6061, anode màu đen</v>
      </c>
      <c r="F79" s="10" t="str">
        <f>F51</f>
        <v>GTAM</v>
      </c>
      <c r="G79" s="10" t="s">
        <v>319</v>
      </c>
      <c r="H79" s="10">
        <f t="shared" si="5"/>
        <v>9</v>
      </c>
      <c r="I79" s="10"/>
      <c r="J79" s="10"/>
      <c r="K79" s="10"/>
      <c r="L79" s="10"/>
      <c r="M79" s="10"/>
      <c r="N79" s="10"/>
      <c r="O79" s="10" t="s">
        <v>13</v>
      </c>
      <c r="P79" s="8"/>
      <c r="Q79" s="8"/>
      <c r="W79" s="11" t="s">
        <v>13</v>
      </c>
    </row>
    <row r="80" spans="1:23" s="11" customFormat="1" ht="40.5" customHeight="1" x14ac:dyDescent="0.3">
      <c r="A80" s="8" t="s">
        <v>13</v>
      </c>
      <c r="B80" s="9" t="s">
        <v>429</v>
      </c>
      <c r="C80" s="10" t="s">
        <v>47</v>
      </c>
      <c r="D80" s="10" t="s">
        <v>430</v>
      </c>
      <c r="E80" s="10" t="str">
        <f>E79</f>
        <v>AL6061, anode màu đen</v>
      </c>
      <c r="F80" s="10" t="str">
        <f>F79</f>
        <v>GTAM</v>
      </c>
      <c r="G80" s="10" t="s">
        <v>319</v>
      </c>
      <c r="H80" s="10">
        <f t="shared" si="5"/>
        <v>9</v>
      </c>
      <c r="I80" s="10"/>
      <c r="J80" s="10"/>
      <c r="K80" s="10"/>
      <c r="L80" s="10"/>
      <c r="M80" s="10"/>
      <c r="N80" s="10"/>
      <c r="O80" s="10" t="s">
        <v>13</v>
      </c>
      <c r="P80" s="8"/>
      <c r="Q80" s="8"/>
      <c r="W80" s="11" t="s">
        <v>13</v>
      </c>
    </row>
    <row r="81" spans="1:23" s="11" customFormat="1" ht="40.5" customHeight="1" x14ac:dyDescent="0.3">
      <c r="A81" s="8" t="s">
        <v>13</v>
      </c>
      <c r="B81" s="9" t="s">
        <v>431</v>
      </c>
      <c r="C81" s="10" t="s">
        <v>15</v>
      </c>
      <c r="D81" s="10" t="s">
        <v>432</v>
      </c>
      <c r="E81" s="10" t="str">
        <f>E52</f>
        <v>AL6061, anode màu đen</v>
      </c>
      <c r="F81" s="10" t="str">
        <f>F52</f>
        <v>GTAM</v>
      </c>
      <c r="G81" s="10" t="s">
        <v>136</v>
      </c>
      <c r="H81" s="10">
        <f t="shared" si="5"/>
        <v>18</v>
      </c>
      <c r="I81" s="10"/>
      <c r="J81" s="10"/>
      <c r="K81" s="10"/>
      <c r="L81" s="10"/>
      <c r="M81" s="10"/>
      <c r="N81" s="10"/>
      <c r="O81" s="10" t="s">
        <v>13</v>
      </c>
      <c r="P81" s="8"/>
      <c r="Q81" s="8"/>
      <c r="W81" s="11" t="s">
        <v>13</v>
      </c>
    </row>
    <row r="82" spans="1:23" s="11" customFormat="1" ht="40.5" customHeight="1" x14ac:dyDescent="0.3">
      <c r="A82" s="8" t="s">
        <v>13</v>
      </c>
      <c r="B82" s="9" t="s">
        <v>433</v>
      </c>
      <c r="C82" s="10" t="s">
        <v>47</v>
      </c>
      <c r="D82" s="10" t="s">
        <v>434</v>
      </c>
      <c r="E82" s="10" t="str">
        <f>E53</f>
        <v>SUS304 điện hóa</v>
      </c>
      <c r="F82" s="10" t="str">
        <f>F53</f>
        <v>CG</v>
      </c>
      <c r="G82" s="10" t="s">
        <v>326</v>
      </c>
      <c r="H82" s="10">
        <f t="shared" si="5"/>
        <v>9</v>
      </c>
      <c r="I82" s="10"/>
      <c r="J82" s="10"/>
      <c r="K82" s="10"/>
      <c r="L82" s="10"/>
      <c r="M82" s="10"/>
      <c r="N82" s="10"/>
      <c r="O82" s="10" t="s">
        <v>13</v>
      </c>
      <c r="P82" s="8"/>
      <c r="Q82" s="8"/>
      <c r="W82" s="11" t="s">
        <v>13</v>
      </c>
    </row>
    <row r="83" spans="1:23" s="11" customFormat="1" ht="40.5" customHeight="1" x14ac:dyDescent="0.3">
      <c r="A83" s="8" t="s">
        <v>13</v>
      </c>
      <c r="B83" s="9" t="s">
        <v>435</v>
      </c>
      <c r="C83" s="10" t="s">
        <v>47</v>
      </c>
      <c r="D83" s="10" t="s">
        <v>436</v>
      </c>
      <c r="E83" s="10" t="str">
        <f>E55</f>
        <v>SUS304 điện hóa</v>
      </c>
      <c r="F83" s="10" t="str">
        <f>F55</f>
        <v>CG</v>
      </c>
      <c r="G83" s="10" t="s">
        <v>329</v>
      </c>
      <c r="H83" s="10">
        <f t="shared" si="5"/>
        <v>9</v>
      </c>
      <c r="I83" s="10"/>
      <c r="J83" s="10"/>
      <c r="K83" s="10"/>
      <c r="L83" s="10"/>
      <c r="M83" s="10"/>
      <c r="N83" s="10"/>
      <c r="O83" s="10" t="s">
        <v>13</v>
      </c>
      <c r="P83" s="8"/>
      <c r="Q83" s="8"/>
      <c r="W83" s="11" t="s">
        <v>13</v>
      </c>
    </row>
    <row r="84" spans="1:23" s="11" customFormat="1" ht="40.5" customHeight="1" x14ac:dyDescent="0.3">
      <c r="A84" s="8" t="s">
        <v>13</v>
      </c>
      <c r="B84" s="9" t="s">
        <v>437</v>
      </c>
      <c r="C84" s="10" t="s">
        <v>47</v>
      </c>
      <c r="D84" s="10" t="s">
        <v>438</v>
      </c>
      <c r="E84" s="10" t="str">
        <f>E83</f>
        <v>SUS304 điện hóa</v>
      </c>
      <c r="F84" s="10" t="str">
        <f>F83</f>
        <v>CG</v>
      </c>
      <c r="G84" s="10" t="s">
        <v>329</v>
      </c>
      <c r="H84" s="10">
        <f t="shared" si="5"/>
        <v>9</v>
      </c>
      <c r="I84" s="10"/>
      <c r="J84" s="10"/>
      <c r="K84" s="10"/>
      <c r="L84" s="10"/>
      <c r="M84" s="10"/>
      <c r="N84" s="10"/>
      <c r="O84" s="10" t="s">
        <v>13</v>
      </c>
      <c r="P84" s="8"/>
      <c r="Q84" s="8"/>
      <c r="W84" s="11" t="s">
        <v>13</v>
      </c>
    </row>
    <row r="85" spans="1:23" s="11" customFormat="1" ht="40.5" customHeight="1" x14ac:dyDescent="0.3">
      <c r="A85" s="8" t="s">
        <v>13</v>
      </c>
      <c r="B85" s="9" t="s">
        <v>439</v>
      </c>
      <c r="C85" s="10" t="s">
        <v>47</v>
      </c>
      <c r="D85" s="10" t="s">
        <v>440</v>
      </c>
      <c r="E85" s="10" t="str">
        <f>E56</f>
        <v>ct trục, SUS304 điện hóa/ S45C mạ nikel</v>
      </c>
      <c r="F85" s="10" t="str">
        <f>F56</f>
        <v>PG</v>
      </c>
      <c r="G85" s="10" t="s">
        <v>335</v>
      </c>
      <c r="H85" s="10">
        <f t="shared" si="5"/>
        <v>9</v>
      </c>
      <c r="I85" s="10"/>
      <c r="J85" s="10"/>
      <c r="K85" s="10"/>
      <c r="L85" s="10"/>
      <c r="M85" s="10"/>
      <c r="N85" s="10"/>
      <c r="O85" s="10" t="s">
        <v>13</v>
      </c>
      <c r="P85" s="8"/>
      <c r="Q85" s="8"/>
      <c r="W85" s="11" t="s">
        <v>13</v>
      </c>
    </row>
    <row r="86" spans="1:23" s="11" customFormat="1" ht="40.5" customHeight="1" x14ac:dyDescent="0.3">
      <c r="A86" s="8" t="s">
        <v>13</v>
      </c>
      <c r="B86" s="9" t="s">
        <v>441</v>
      </c>
      <c r="C86" s="10" t="s">
        <v>47</v>
      </c>
      <c r="D86" s="10" t="s">
        <v>442</v>
      </c>
      <c r="E86" s="10" t="str">
        <f>E57</f>
        <v>ct trục, SUS304 điện hóa/ S45C mạ nikel</v>
      </c>
      <c r="F86" s="10" t="str">
        <f>F28</f>
        <v>PG</v>
      </c>
      <c r="G86" s="10" t="s">
        <v>338</v>
      </c>
      <c r="H86" s="10">
        <f t="shared" si="5"/>
        <v>9</v>
      </c>
      <c r="I86" s="10"/>
      <c r="J86" s="10"/>
      <c r="K86" s="10"/>
      <c r="L86" s="10"/>
      <c r="M86" s="10"/>
      <c r="N86" s="10"/>
      <c r="O86" s="10" t="s">
        <v>13</v>
      </c>
      <c r="P86" s="8"/>
      <c r="Q86" s="8"/>
      <c r="W86" s="11" t="s">
        <v>13</v>
      </c>
    </row>
    <row r="87" spans="1:23" s="11" customFormat="1" ht="40.5" customHeight="1" x14ac:dyDescent="0.3">
      <c r="A87" s="8" t="s">
        <v>13</v>
      </c>
      <c r="B87" s="9" t="s">
        <v>443</v>
      </c>
      <c r="C87" s="10" t="s">
        <v>15</v>
      </c>
      <c r="D87" s="10" t="s">
        <v>444</v>
      </c>
      <c r="E87" s="10" t="str">
        <f>E58</f>
        <v>Vòng bi B6000ZZ</v>
      </c>
      <c r="F87" s="10" t="str">
        <f>F58</f>
        <v>VB</v>
      </c>
      <c r="G87" s="10" t="s">
        <v>140</v>
      </c>
      <c r="H87" s="10">
        <f t="shared" si="5"/>
        <v>18</v>
      </c>
      <c r="I87" s="10"/>
      <c r="J87" s="10"/>
      <c r="K87" s="10"/>
      <c r="L87" s="10"/>
      <c r="M87" s="10"/>
      <c r="N87" s="10"/>
      <c r="O87" s="10" t="s">
        <v>13</v>
      </c>
      <c r="P87" s="8"/>
      <c r="Q87" s="8"/>
      <c r="W87" s="11" t="s">
        <v>13</v>
      </c>
    </row>
    <row r="88" spans="1:23" s="11" customFormat="1" ht="40.5" customHeight="1" x14ac:dyDescent="0.3">
      <c r="A88" s="8" t="s">
        <v>13</v>
      </c>
      <c r="B88" s="9" t="s">
        <v>445</v>
      </c>
      <c r="C88" s="10" t="s">
        <v>15</v>
      </c>
      <c r="D88" s="10" t="s">
        <v>446</v>
      </c>
      <c r="E88" s="10" t="str">
        <f>E59</f>
        <v>phanh trục STWN10</v>
      </c>
      <c r="F88" s="10" t="str">
        <f>F59</f>
        <v>PT- Phanh trục</v>
      </c>
      <c r="G88" s="10" t="s">
        <v>345</v>
      </c>
      <c r="H88" s="10">
        <f t="shared" si="5"/>
        <v>18</v>
      </c>
      <c r="I88" s="10" t="str">
        <f>I59</f>
        <v>Tồn kho sẵn</v>
      </c>
      <c r="J88" s="10"/>
      <c r="K88" s="10"/>
      <c r="L88" s="10"/>
      <c r="M88" s="10"/>
      <c r="N88" s="10"/>
      <c r="O88" s="10" t="s">
        <v>13</v>
      </c>
      <c r="P88" s="8"/>
      <c r="Q88" s="8"/>
      <c r="W88" s="11" t="s">
        <v>13</v>
      </c>
    </row>
    <row r="89" spans="1:23" s="11" customFormat="1" ht="40.5" customHeight="1" x14ac:dyDescent="0.3">
      <c r="A89" s="8" t="s">
        <v>13</v>
      </c>
      <c r="B89" s="9" t="s">
        <v>447</v>
      </c>
      <c r="C89" s="10" t="s">
        <v>47</v>
      </c>
      <c r="D89" s="10" t="s">
        <v>448</v>
      </c>
      <c r="E89" s="10" t="str">
        <f>E60</f>
        <v>ct trục, SUS304 điện hóa/ S45C mạ nikel</v>
      </c>
      <c r="F89" s="10" t="str">
        <f>F60</f>
        <v>PG</v>
      </c>
      <c r="G89" s="10" t="s">
        <v>349</v>
      </c>
      <c r="H89" s="10">
        <f t="shared" si="5"/>
        <v>9</v>
      </c>
      <c r="I89" s="10"/>
      <c r="J89" s="10"/>
      <c r="K89" s="10"/>
      <c r="L89" s="10"/>
      <c r="M89" s="10"/>
      <c r="N89" s="10"/>
      <c r="O89" s="10" t="s">
        <v>13</v>
      </c>
      <c r="P89" s="8"/>
      <c r="Q89" s="8"/>
      <c r="W89" s="11" t="s">
        <v>13</v>
      </c>
    </row>
    <row r="93" spans="1:23" x14ac:dyDescent="0.3">
      <c r="F93" s="18" t="s">
        <v>25</v>
      </c>
      <c r="G93" s="18" t="str">
        <f>'Z0000002-238846 BOM trien k hai'!G102</f>
        <v>đã đặt phôi, có thể làm xong trc 5/4</v>
      </c>
      <c r="H93" s="18"/>
    </row>
    <row r="94" spans="1:23" x14ac:dyDescent="0.3">
      <c r="F94" s="18" t="s">
        <v>26</v>
      </c>
      <c r="G94" s="18" t="str">
        <f>'Z0000002-238846 BOM trien k hai'!G103</f>
        <v>đã chốt làm MAH toàn bộ, có hàng trc 4/4</v>
      </c>
      <c r="H94" s="18"/>
    </row>
    <row r="95" spans="1:23" x14ac:dyDescent="0.3">
      <c r="F95" s="18" t="str">
        <f>F66</f>
        <v>MI</v>
      </c>
      <c r="G95" s="18" t="str">
        <f>I66</f>
        <v>31/3 và 3/4 nhận đủ hàng</v>
      </c>
      <c r="H95" s="18"/>
    </row>
    <row r="96" spans="1:23" x14ac:dyDescent="0.3">
      <c r="F96" s="18" t="s">
        <v>31</v>
      </c>
      <c r="G96" s="18" t="str">
        <f>'Z0000002-238846 BOM trien k hai'!G106</f>
        <v>Ng đã đặt NCC mới cho đủ 84CV</v>
      </c>
      <c r="H96" s="18"/>
    </row>
    <row r="97" spans="6:8" x14ac:dyDescent="0.3">
      <c r="F97" s="18" t="str">
        <f>F88</f>
        <v>PT- Phanh trục</v>
      </c>
      <c r="G97" s="18" t="str">
        <f>I88</f>
        <v>Tồn kho sẵn</v>
      </c>
      <c r="H97" s="18"/>
    </row>
    <row r="98" spans="6:8" x14ac:dyDescent="0.3">
      <c r="F98" s="18" t="s">
        <v>34</v>
      </c>
      <c r="G98" s="18" t="str">
        <f>'[1]Z0000002-238846 BOM trien k hai'!$G$108</f>
        <v>đã báo đặt hàng</v>
      </c>
      <c r="H98" s="18"/>
    </row>
    <row r="99" spans="6:8" x14ac:dyDescent="0.3">
      <c r="F99" s="18" t="str">
        <f>F64</f>
        <v>Then cài</v>
      </c>
      <c r="G99" s="18" t="str">
        <f>I64</f>
        <v>đã tồn kho sẵn</v>
      </c>
      <c r="H99" s="18"/>
    </row>
    <row r="100" spans="6:8" x14ac:dyDescent="0.3">
      <c r="F100" s="18" t="str">
        <f>F63</f>
        <v>UP</v>
      </c>
      <c r="G100" s="18" t="str">
        <f>'Z0000002-238846 BOM trien k hai'!G109</f>
        <v>đã nhận hàng 30/3</v>
      </c>
      <c r="H100" s="18"/>
    </row>
    <row r="101" spans="6:8" x14ac:dyDescent="0.3">
      <c r="F101" s="18" t="str">
        <f>F74</f>
        <v>VB</v>
      </c>
      <c r="G101" s="18" t="str">
        <f>I74</f>
        <v>hàng đã về</v>
      </c>
      <c r="H101" s="18"/>
    </row>
    <row r="102" spans="6:8" x14ac:dyDescent="0.3">
      <c r="F102" s="18" t="s">
        <v>18</v>
      </c>
      <c r="G102" s="18" t="str">
        <f>I78</f>
        <v>đã chốt đặt hàng</v>
      </c>
      <c r="H102" s="18"/>
    </row>
  </sheetData>
  <autoFilter ref="A1:I89" xr:uid="{DECAB466-77E9-4FDB-BA9C-CB6DBFCE15EA}"/>
  <conditionalFormatting sqref="G105:G1048576 G99:G101 G97 G1:G95">
    <cfRule type="duplicateValues" dxfId="2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2BBE-FBB6-408D-BA97-D0137A10027E}">
  <dimension ref="A1:X81"/>
  <sheetViews>
    <sheetView workbookViewId="0">
      <selection activeCell="D8" sqref="D8"/>
    </sheetView>
  </sheetViews>
  <sheetFormatPr defaultRowHeight="14.4" x14ac:dyDescent="0.3"/>
  <cols>
    <col min="1" max="1" width="16.44140625" customWidth="1"/>
    <col min="2" max="2" width="12" customWidth="1"/>
    <col min="3" max="3" width="24.44140625" customWidth="1"/>
    <col min="4" max="4" width="49.6640625" customWidth="1"/>
    <col min="5" max="5" width="42.5546875" customWidth="1"/>
    <col min="6" max="6" width="15.88671875" customWidth="1"/>
    <col min="7" max="15" width="19.6640625" customWidth="1"/>
    <col min="16" max="16" width="19.44140625" customWidth="1"/>
    <col min="17" max="17" width="17.88671875" customWidth="1"/>
  </cols>
  <sheetData>
    <row r="1" spans="1:24" ht="26.4" thickBot="1" x14ac:dyDescent="0.55000000000000004">
      <c r="A1" s="1" t="s">
        <v>449</v>
      </c>
      <c r="B1" s="2"/>
      <c r="C1" s="2"/>
      <c r="D1" s="2"/>
      <c r="G1" s="4" t="s">
        <v>10</v>
      </c>
      <c r="H1" s="4">
        <v>6</v>
      </c>
      <c r="I1" s="4" t="s">
        <v>450</v>
      </c>
    </row>
    <row r="2" spans="1:24" s="13" customFormat="1" ht="16.2" thickTop="1" x14ac:dyDescent="0.3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/>
      <c r="I2" s="6" t="s">
        <v>11</v>
      </c>
      <c r="J2" s="6"/>
      <c r="K2" s="6"/>
      <c r="L2" s="6"/>
      <c r="M2" s="6"/>
      <c r="N2" s="6"/>
      <c r="O2" s="6"/>
      <c r="P2" s="6" t="s">
        <v>12</v>
      </c>
      <c r="X2" s="13" t="s">
        <v>13</v>
      </c>
    </row>
    <row r="3" spans="1:24" s="15" customFormat="1" ht="40.5" customHeight="1" x14ac:dyDescent="0.3">
      <c r="A3" s="14" t="s">
        <v>13</v>
      </c>
      <c r="B3" s="9" t="s">
        <v>451</v>
      </c>
      <c r="C3" s="9" t="s">
        <v>47</v>
      </c>
      <c r="D3" s="9" t="s">
        <v>452</v>
      </c>
      <c r="E3" s="9" t="s">
        <v>453</v>
      </c>
      <c r="F3" s="9" t="s">
        <v>25</v>
      </c>
      <c r="G3" s="9" t="s">
        <v>454</v>
      </c>
      <c r="H3" s="9">
        <f>C3*$H$1</f>
        <v>6</v>
      </c>
      <c r="I3" s="9"/>
      <c r="J3" s="9"/>
      <c r="K3" s="9"/>
      <c r="L3" s="9"/>
      <c r="M3" s="9"/>
      <c r="N3" s="9"/>
      <c r="O3" s="9"/>
      <c r="P3" s="9" t="s">
        <v>13</v>
      </c>
      <c r="Q3" s="14"/>
      <c r="R3" s="14"/>
      <c r="X3" s="15" t="s">
        <v>13</v>
      </c>
    </row>
    <row r="4" spans="1:24" s="15" customFormat="1" ht="40.5" customHeight="1" x14ac:dyDescent="0.3">
      <c r="A4" s="14" t="s">
        <v>13</v>
      </c>
      <c r="B4" s="9" t="s">
        <v>455</v>
      </c>
      <c r="C4" s="9" t="s">
        <v>456</v>
      </c>
      <c r="D4" s="9" t="s">
        <v>457</v>
      </c>
      <c r="E4" s="9">
        <v>0</v>
      </c>
      <c r="F4" s="9" t="s">
        <v>458</v>
      </c>
      <c r="G4" s="9" t="s">
        <v>459</v>
      </c>
      <c r="H4" s="9">
        <f t="shared" ref="H4:H65" si="0">C4*$H$1</f>
        <v>156</v>
      </c>
      <c r="I4" s="9"/>
      <c r="J4" s="9"/>
      <c r="K4" s="9"/>
      <c r="L4" s="9"/>
      <c r="M4" s="9"/>
      <c r="N4" s="9"/>
      <c r="O4" s="9"/>
      <c r="P4" s="9" t="s">
        <v>13</v>
      </c>
      <c r="Q4" s="14"/>
      <c r="R4" s="14"/>
      <c r="X4" s="15" t="s">
        <v>13</v>
      </c>
    </row>
    <row r="5" spans="1:24" s="15" customFormat="1" ht="40.5" customHeight="1" x14ac:dyDescent="0.3">
      <c r="A5" s="14" t="s">
        <v>13</v>
      </c>
      <c r="B5" s="9" t="s">
        <v>460</v>
      </c>
      <c r="C5" s="9" t="s">
        <v>47</v>
      </c>
      <c r="D5" s="9" t="s">
        <v>461</v>
      </c>
      <c r="E5" s="9" t="str">
        <f>E3</f>
        <v>PB108 màu đen</v>
      </c>
      <c r="F5" s="9" t="str">
        <f>F3</f>
        <v>GTAM</v>
      </c>
      <c r="G5" s="9" t="s">
        <v>454</v>
      </c>
      <c r="H5" s="9">
        <f t="shared" si="0"/>
        <v>6</v>
      </c>
      <c r="I5" s="9"/>
      <c r="J5" s="9"/>
      <c r="K5" s="9"/>
      <c r="L5" s="9"/>
      <c r="M5" s="9"/>
      <c r="N5" s="9"/>
      <c r="O5" s="9"/>
      <c r="P5" s="9" t="s">
        <v>13</v>
      </c>
      <c r="Q5" s="14"/>
      <c r="R5" s="14"/>
      <c r="X5" s="15" t="s">
        <v>13</v>
      </c>
    </row>
    <row r="6" spans="1:24" s="15" customFormat="1" ht="40.5" customHeight="1" x14ac:dyDescent="0.3">
      <c r="A6" s="14" t="s">
        <v>13</v>
      </c>
      <c r="B6" s="9" t="s">
        <v>462</v>
      </c>
      <c r="C6" s="9" t="s">
        <v>154</v>
      </c>
      <c r="D6" s="9" t="s">
        <v>463</v>
      </c>
      <c r="E6" s="9">
        <v>0</v>
      </c>
      <c r="F6" s="9" t="str">
        <f>F4</f>
        <v>Bỏ</v>
      </c>
      <c r="G6" s="9" t="s">
        <v>459</v>
      </c>
      <c r="H6" s="9">
        <f t="shared" si="0"/>
        <v>48</v>
      </c>
      <c r="I6" s="9"/>
      <c r="J6" s="9"/>
      <c r="K6" s="9"/>
      <c r="L6" s="9"/>
      <c r="M6" s="9"/>
      <c r="N6" s="9"/>
      <c r="O6" s="9"/>
      <c r="P6" s="9" t="s">
        <v>13</v>
      </c>
      <c r="Q6" s="14"/>
      <c r="R6" s="14"/>
      <c r="X6" s="15" t="s">
        <v>13</v>
      </c>
    </row>
    <row r="7" spans="1:24" s="15" customFormat="1" ht="40.5" customHeight="1" x14ac:dyDescent="0.3">
      <c r="A7" s="14" t="s">
        <v>13</v>
      </c>
      <c r="B7" s="9" t="s">
        <v>464</v>
      </c>
      <c r="C7" s="9" t="s">
        <v>15</v>
      </c>
      <c r="D7" s="9" t="s">
        <v>465</v>
      </c>
      <c r="E7" s="9" t="s">
        <v>466</v>
      </c>
      <c r="F7" s="9" t="s">
        <v>37</v>
      </c>
      <c r="G7" s="9" t="s">
        <v>140</v>
      </c>
      <c r="H7" s="9">
        <f t="shared" si="0"/>
        <v>12</v>
      </c>
      <c r="I7" s="9" t="str">
        <f>'Z0000002-238847 BOM trien khai'!I74</f>
        <v>hàng đã về</v>
      </c>
      <c r="J7" s="9"/>
      <c r="K7" s="9"/>
      <c r="L7" s="9"/>
      <c r="M7" s="9"/>
      <c r="N7" s="9"/>
      <c r="O7" s="9"/>
      <c r="P7" s="9" t="s">
        <v>13</v>
      </c>
      <c r="Q7" s="14"/>
      <c r="R7" s="14"/>
      <c r="X7" s="15" t="s">
        <v>13</v>
      </c>
    </row>
    <row r="8" spans="1:24" s="15" customFormat="1" ht="40.5" customHeight="1" x14ac:dyDescent="0.3">
      <c r="A8" s="14" t="s">
        <v>13</v>
      </c>
      <c r="B8" s="9" t="s">
        <v>467</v>
      </c>
      <c r="C8" s="9" t="s">
        <v>21</v>
      </c>
      <c r="D8" s="9" t="s">
        <v>468</v>
      </c>
      <c r="E8" s="9" t="s">
        <v>59</v>
      </c>
      <c r="F8" s="9" t="s">
        <v>37</v>
      </c>
      <c r="G8" s="9" t="s">
        <v>60</v>
      </c>
      <c r="H8" s="9">
        <f t="shared" si="0"/>
        <v>24</v>
      </c>
      <c r="I8" s="9" t="str">
        <f>I7</f>
        <v>hàng đã về</v>
      </c>
      <c r="J8" s="9"/>
      <c r="K8" s="9"/>
      <c r="L8" s="9"/>
      <c r="M8" s="9"/>
      <c r="N8" s="9"/>
      <c r="O8" s="9"/>
      <c r="P8" s="9" t="s">
        <v>13</v>
      </c>
      <c r="Q8" s="14"/>
      <c r="R8" s="14"/>
      <c r="X8" s="15" t="s">
        <v>13</v>
      </c>
    </row>
    <row r="9" spans="1:24" s="15" customFormat="1" ht="40.5" customHeight="1" x14ac:dyDescent="0.3">
      <c r="A9" s="14" t="s">
        <v>13</v>
      </c>
      <c r="B9" s="9" t="s">
        <v>470</v>
      </c>
      <c r="C9" s="9" t="s">
        <v>47</v>
      </c>
      <c r="D9" s="9" t="s">
        <v>471</v>
      </c>
      <c r="E9" s="9" t="s">
        <v>472</v>
      </c>
      <c r="F9" s="9" t="s">
        <v>29</v>
      </c>
      <c r="G9" s="9" t="s">
        <v>473</v>
      </c>
      <c r="H9" s="9">
        <f t="shared" si="0"/>
        <v>6</v>
      </c>
      <c r="I9" s="16" t="str">
        <f>G73</f>
        <v>31/3 và 3/4 nhận đủ hàng</v>
      </c>
      <c r="J9" s="9"/>
      <c r="K9" s="9"/>
      <c r="L9" s="9"/>
      <c r="M9" s="9"/>
      <c r="N9" s="9"/>
      <c r="O9" s="9"/>
      <c r="P9" s="9" t="s">
        <v>13</v>
      </c>
      <c r="Q9" s="14"/>
      <c r="R9" s="14"/>
      <c r="X9" s="15" t="s">
        <v>13</v>
      </c>
    </row>
    <row r="10" spans="1:24" s="15" customFormat="1" ht="40.5" customHeight="1" x14ac:dyDescent="0.3">
      <c r="A10" s="14" t="s">
        <v>13</v>
      </c>
      <c r="B10" s="9" t="s">
        <v>474</v>
      </c>
      <c r="C10" s="9" t="s">
        <v>15</v>
      </c>
      <c r="D10" s="9" t="s">
        <v>475</v>
      </c>
      <c r="E10" s="9" t="s">
        <v>476</v>
      </c>
      <c r="F10" s="9" t="s">
        <v>36</v>
      </c>
      <c r="G10" s="9" t="s">
        <v>72</v>
      </c>
      <c r="H10" s="9">
        <f t="shared" si="0"/>
        <v>12</v>
      </c>
      <c r="I10" s="9" t="str">
        <f>'Z0000002-238847 BOM trien khai'!G100</f>
        <v>đã nhận hàng 30/3</v>
      </c>
      <c r="J10" s="9"/>
      <c r="K10" s="9"/>
      <c r="L10" s="9"/>
      <c r="M10" s="9"/>
      <c r="N10" s="9"/>
      <c r="O10" s="9"/>
      <c r="P10" s="9" t="s">
        <v>13</v>
      </c>
      <c r="Q10" s="14"/>
      <c r="R10" s="14"/>
      <c r="X10" s="15" t="s">
        <v>13</v>
      </c>
    </row>
    <row r="11" spans="1:24" s="15" customFormat="1" ht="40.5" customHeight="1" x14ac:dyDescent="0.3">
      <c r="A11" s="14" t="s">
        <v>13</v>
      </c>
      <c r="B11" s="9" t="s">
        <v>477</v>
      </c>
      <c r="C11" s="9" t="s">
        <v>15</v>
      </c>
      <c r="D11" s="9" t="s">
        <v>478</v>
      </c>
      <c r="E11" s="9" t="s">
        <v>75</v>
      </c>
      <c r="F11" s="9" t="s">
        <v>32</v>
      </c>
      <c r="G11" s="9" t="s">
        <v>76</v>
      </c>
      <c r="H11" s="9">
        <f t="shared" si="0"/>
        <v>12</v>
      </c>
      <c r="I11" s="9" t="s">
        <v>33</v>
      </c>
      <c r="J11" s="9"/>
      <c r="K11" s="9"/>
      <c r="L11" s="9"/>
      <c r="M11" s="9"/>
      <c r="N11" s="9"/>
      <c r="O11" s="9"/>
      <c r="P11" s="9" t="s">
        <v>13</v>
      </c>
      <c r="Q11" s="14"/>
      <c r="R11" s="14"/>
      <c r="X11" s="15" t="s">
        <v>13</v>
      </c>
    </row>
    <row r="12" spans="1:24" s="15" customFormat="1" ht="40.5" customHeight="1" x14ac:dyDescent="0.3">
      <c r="A12" s="14" t="s">
        <v>13</v>
      </c>
      <c r="B12" s="9" t="s">
        <v>479</v>
      </c>
      <c r="C12" s="9" t="s">
        <v>47</v>
      </c>
      <c r="D12" s="9" t="s">
        <v>480</v>
      </c>
      <c r="E12" s="9" t="s">
        <v>63</v>
      </c>
      <c r="F12" s="9" t="s">
        <v>34</v>
      </c>
      <c r="G12" s="9" t="s">
        <v>481</v>
      </c>
      <c r="H12" s="9">
        <f t="shared" si="0"/>
        <v>6</v>
      </c>
      <c r="I12" s="9"/>
      <c r="J12" s="9"/>
      <c r="K12" s="9"/>
      <c r="L12" s="9"/>
      <c r="M12" s="9"/>
      <c r="N12" s="9"/>
      <c r="O12" s="9"/>
      <c r="P12" s="9" t="s">
        <v>13</v>
      </c>
      <c r="Q12" s="14"/>
      <c r="R12" s="14"/>
      <c r="X12" s="15" t="s">
        <v>13</v>
      </c>
    </row>
    <row r="13" spans="1:24" s="15" customFormat="1" ht="40.5" customHeight="1" x14ac:dyDescent="0.3">
      <c r="A13" s="14" t="s">
        <v>13</v>
      </c>
      <c r="B13" s="9" t="s">
        <v>482</v>
      </c>
      <c r="C13" s="9" t="s">
        <v>47</v>
      </c>
      <c r="D13" s="9" t="s">
        <v>483</v>
      </c>
      <c r="E13" s="9" t="s">
        <v>484</v>
      </c>
      <c r="F13" s="9" t="str">
        <f>F12</f>
        <v>SPG</v>
      </c>
      <c r="G13" s="9" t="s">
        <v>485</v>
      </c>
      <c r="H13" s="9">
        <f t="shared" si="0"/>
        <v>6</v>
      </c>
      <c r="I13" s="9"/>
      <c r="J13" s="9"/>
      <c r="K13" s="9"/>
      <c r="L13" s="9"/>
      <c r="M13" s="9"/>
      <c r="N13" s="9"/>
      <c r="O13" s="9"/>
      <c r="P13" s="9" t="s">
        <v>13</v>
      </c>
      <c r="Q13" s="14"/>
      <c r="R13" s="14"/>
      <c r="X13" s="15" t="s">
        <v>13</v>
      </c>
    </row>
    <row r="14" spans="1:24" s="15" customFormat="1" ht="40.5" customHeight="1" x14ac:dyDescent="0.3">
      <c r="A14" s="14" t="s">
        <v>13</v>
      </c>
      <c r="B14" s="9" t="s">
        <v>486</v>
      </c>
      <c r="C14" s="9" t="s">
        <v>15</v>
      </c>
      <c r="D14" s="9" t="s">
        <v>487</v>
      </c>
      <c r="E14" s="9" t="s">
        <v>41</v>
      </c>
      <c r="F14" s="9" t="s">
        <v>25</v>
      </c>
      <c r="G14" s="9" t="s">
        <v>136</v>
      </c>
      <c r="H14" s="9">
        <f t="shared" si="0"/>
        <v>12</v>
      </c>
      <c r="I14" s="9"/>
      <c r="J14" s="9"/>
      <c r="K14" s="9"/>
      <c r="L14" s="9"/>
      <c r="M14" s="9"/>
      <c r="N14" s="9"/>
      <c r="O14" s="9"/>
      <c r="P14" s="9" t="s">
        <v>13</v>
      </c>
      <c r="Q14" s="14"/>
      <c r="R14" s="14"/>
      <c r="X14" s="15" t="s">
        <v>13</v>
      </c>
    </row>
    <row r="15" spans="1:24" s="15" customFormat="1" ht="40.5" customHeight="1" x14ac:dyDescent="0.3">
      <c r="A15" s="14" t="s">
        <v>13</v>
      </c>
      <c r="B15" s="9" t="s">
        <v>488</v>
      </c>
      <c r="C15" s="9" t="s">
        <v>47</v>
      </c>
      <c r="D15" s="9" t="s">
        <v>489</v>
      </c>
      <c r="E15" s="9" t="s">
        <v>41</v>
      </c>
      <c r="F15" s="9" t="s">
        <v>25</v>
      </c>
      <c r="G15" s="9" t="s">
        <v>490</v>
      </c>
      <c r="H15" s="9">
        <f t="shared" si="0"/>
        <v>6</v>
      </c>
      <c r="I15" s="9"/>
      <c r="J15" s="9"/>
      <c r="K15" s="9"/>
      <c r="L15" s="9"/>
      <c r="M15" s="9"/>
      <c r="N15" s="9"/>
      <c r="O15" s="9"/>
      <c r="P15" s="9" t="s">
        <v>13</v>
      </c>
      <c r="Q15" s="14"/>
      <c r="R15" s="14"/>
      <c r="X15" s="15" t="s">
        <v>13</v>
      </c>
    </row>
    <row r="16" spans="1:24" s="15" customFormat="1" ht="40.5" customHeight="1" x14ac:dyDescent="0.3">
      <c r="A16" s="14" t="s">
        <v>13</v>
      </c>
      <c r="B16" s="9" t="s">
        <v>491</v>
      </c>
      <c r="C16" s="9" t="s">
        <v>21</v>
      </c>
      <c r="D16" s="9" t="s">
        <v>492</v>
      </c>
      <c r="E16" s="9" t="s">
        <v>41</v>
      </c>
      <c r="F16" s="9" t="str">
        <f>F21</f>
        <v>GTAM</v>
      </c>
      <c r="G16" s="9" t="s">
        <v>120</v>
      </c>
      <c r="H16" s="9">
        <f t="shared" si="0"/>
        <v>24</v>
      </c>
      <c r="I16" s="9"/>
      <c r="J16" s="9"/>
      <c r="K16" s="9"/>
      <c r="L16" s="9"/>
      <c r="M16" s="9"/>
      <c r="N16" s="9"/>
      <c r="O16" s="9"/>
      <c r="P16" s="9" t="s">
        <v>13</v>
      </c>
      <c r="Q16" s="14"/>
      <c r="R16" s="14"/>
      <c r="X16" s="15" t="s">
        <v>13</v>
      </c>
    </row>
    <row r="17" spans="1:24" s="15" customFormat="1" ht="40.5" customHeight="1" x14ac:dyDescent="0.3">
      <c r="A17" s="14" t="s">
        <v>13</v>
      </c>
      <c r="B17" s="9" t="s">
        <v>493</v>
      </c>
      <c r="C17" s="9" t="s">
        <v>15</v>
      </c>
      <c r="D17" s="9" t="s">
        <v>494</v>
      </c>
      <c r="E17" s="9" t="s">
        <v>495</v>
      </c>
      <c r="F17" s="9" t="s">
        <v>496</v>
      </c>
      <c r="G17" s="9" t="s">
        <v>497</v>
      </c>
      <c r="H17" s="9">
        <f t="shared" si="0"/>
        <v>12</v>
      </c>
      <c r="I17" s="9" t="str">
        <f>'Z0000002-238846 BOM trien k hai'!G106</f>
        <v>Ng đã đặt NCC mới cho đủ 84CV</v>
      </c>
      <c r="J17" s="9"/>
      <c r="K17" s="9"/>
      <c r="L17" s="9"/>
      <c r="M17" s="9"/>
      <c r="N17" s="9"/>
      <c r="O17" s="9"/>
      <c r="P17" s="9" t="s">
        <v>13</v>
      </c>
      <c r="Q17" s="14"/>
      <c r="R17" s="14"/>
      <c r="X17" s="15" t="s">
        <v>13</v>
      </c>
    </row>
    <row r="18" spans="1:24" s="15" customFormat="1" ht="40.5" customHeight="1" x14ac:dyDescent="0.3">
      <c r="A18" s="14" t="s">
        <v>13</v>
      </c>
      <c r="B18" s="9" t="s">
        <v>498</v>
      </c>
      <c r="C18" s="9" t="s">
        <v>15</v>
      </c>
      <c r="D18" s="9" t="s">
        <v>499</v>
      </c>
      <c r="E18" s="9" t="s">
        <v>500</v>
      </c>
      <c r="F18" s="9" t="s">
        <v>31</v>
      </c>
      <c r="G18" s="9" t="s">
        <v>56</v>
      </c>
      <c r="H18" s="9">
        <f t="shared" si="0"/>
        <v>12</v>
      </c>
      <c r="I18" s="9" t="str">
        <f>I17</f>
        <v>Ng đã đặt NCC mới cho đủ 84CV</v>
      </c>
      <c r="J18" s="9"/>
      <c r="K18" s="9"/>
      <c r="L18" s="9"/>
      <c r="M18" s="9"/>
      <c r="N18" s="9"/>
      <c r="O18" s="9"/>
      <c r="P18" s="9" t="s">
        <v>13</v>
      </c>
      <c r="Q18" s="14"/>
      <c r="R18" s="14"/>
      <c r="X18" s="15" t="s">
        <v>13</v>
      </c>
    </row>
    <row r="19" spans="1:24" s="15" customFormat="1" ht="40.5" customHeight="1" x14ac:dyDescent="0.3">
      <c r="A19" s="14" t="s">
        <v>13</v>
      </c>
      <c r="B19" s="9" t="s">
        <v>501</v>
      </c>
      <c r="C19" s="9" t="s">
        <v>15</v>
      </c>
      <c r="D19" s="9" t="s">
        <v>502</v>
      </c>
      <c r="E19" s="9" t="s">
        <v>503</v>
      </c>
      <c r="F19" s="9" t="str">
        <f>F18</f>
        <v>PG</v>
      </c>
      <c r="G19" s="9" t="s">
        <v>56</v>
      </c>
      <c r="H19" s="9">
        <f t="shared" si="0"/>
        <v>12</v>
      </c>
      <c r="I19" s="9" t="str">
        <f>I18</f>
        <v>Ng đã đặt NCC mới cho đủ 84CV</v>
      </c>
      <c r="J19" s="9"/>
      <c r="K19" s="9"/>
      <c r="L19" s="9"/>
      <c r="M19" s="9"/>
      <c r="N19" s="9"/>
      <c r="O19" s="9"/>
      <c r="P19" s="9" t="s">
        <v>13</v>
      </c>
      <c r="Q19" s="14"/>
      <c r="R19" s="14"/>
      <c r="X19" s="15" t="s">
        <v>13</v>
      </c>
    </row>
    <row r="20" spans="1:24" s="15" customFormat="1" ht="40.5" customHeight="1" x14ac:dyDescent="0.3">
      <c r="A20" s="14" t="s">
        <v>13</v>
      </c>
      <c r="B20" s="9" t="s">
        <v>504</v>
      </c>
      <c r="C20" s="9" t="s">
        <v>47</v>
      </c>
      <c r="D20" s="9" t="s">
        <v>505</v>
      </c>
      <c r="E20" s="9" t="str">
        <f>E35</f>
        <v>SUS304, điện hóa</v>
      </c>
      <c r="F20" s="9" t="s">
        <v>26</v>
      </c>
      <c r="G20" s="9" t="s">
        <v>506</v>
      </c>
      <c r="H20" s="9">
        <f t="shared" si="0"/>
        <v>6</v>
      </c>
      <c r="I20" s="9" t="str">
        <f>G71</f>
        <v>đã chốt làm MAH toàn bộ, có hàng trc 4/4</v>
      </c>
      <c r="J20" s="9"/>
      <c r="K20" s="9"/>
      <c r="L20" s="9"/>
      <c r="M20" s="9"/>
      <c r="N20" s="9"/>
      <c r="O20" s="9"/>
      <c r="P20" s="9" t="s">
        <v>13</v>
      </c>
      <c r="Q20" s="14"/>
      <c r="R20" s="14"/>
      <c r="X20" s="15" t="s">
        <v>13</v>
      </c>
    </row>
    <row r="21" spans="1:24" s="15" customFormat="1" ht="40.5" customHeight="1" x14ac:dyDescent="0.3">
      <c r="A21" s="14" t="s">
        <v>13</v>
      </c>
      <c r="B21" s="9" t="s">
        <v>507</v>
      </c>
      <c r="C21" s="9" t="s">
        <v>47</v>
      </c>
      <c r="D21" s="9" t="s">
        <v>508</v>
      </c>
      <c r="E21" s="9" t="s">
        <v>86</v>
      </c>
      <c r="F21" s="9" t="s">
        <v>25</v>
      </c>
      <c r="G21" s="9" t="s">
        <v>509</v>
      </c>
      <c r="H21" s="9">
        <f t="shared" si="0"/>
        <v>6</v>
      </c>
      <c r="I21" s="9"/>
      <c r="J21" s="9"/>
      <c r="K21" s="9"/>
      <c r="L21" s="9"/>
      <c r="M21" s="9"/>
      <c r="N21" s="9"/>
      <c r="O21" s="9"/>
      <c r="P21" s="9" t="s">
        <v>13</v>
      </c>
      <c r="Q21" s="14"/>
      <c r="R21" s="14"/>
      <c r="X21" s="15" t="s">
        <v>13</v>
      </c>
    </row>
    <row r="22" spans="1:24" s="15" customFormat="1" ht="40.5" customHeight="1" x14ac:dyDescent="0.3">
      <c r="A22" s="14" t="s">
        <v>13</v>
      </c>
      <c r="B22" s="9" t="s">
        <v>510</v>
      </c>
      <c r="C22" s="9" t="s">
        <v>15</v>
      </c>
      <c r="D22" s="9" t="s">
        <v>511</v>
      </c>
      <c r="E22" s="9" t="s">
        <v>512</v>
      </c>
      <c r="F22" s="9" t="s">
        <v>18</v>
      </c>
      <c r="G22" s="9" t="s">
        <v>513</v>
      </c>
      <c r="H22" s="9">
        <f t="shared" si="0"/>
        <v>12</v>
      </c>
      <c r="I22" s="9" t="str">
        <f>'[1]Z0000002-238846 BOM trien k hai'!$I$29</f>
        <v>đã chốt đặt hàng</v>
      </c>
      <c r="J22" s="9"/>
      <c r="K22" s="9"/>
      <c r="L22" s="9"/>
      <c r="M22" s="9"/>
      <c r="N22" s="9"/>
      <c r="O22" s="9"/>
      <c r="P22" s="9" t="s">
        <v>13</v>
      </c>
      <c r="Q22" s="14"/>
      <c r="R22" s="14"/>
      <c r="X22" s="15" t="s">
        <v>13</v>
      </c>
    </row>
    <row r="23" spans="1:24" s="15" customFormat="1" ht="40.5" customHeight="1" x14ac:dyDescent="0.3">
      <c r="A23" s="14" t="s">
        <v>13</v>
      </c>
      <c r="B23" s="9" t="s">
        <v>514</v>
      </c>
      <c r="C23" s="9" t="s">
        <v>15</v>
      </c>
      <c r="D23" s="9" t="s">
        <v>515</v>
      </c>
      <c r="E23" s="9" t="str">
        <f>E16</f>
        <v>AL6061, anode màu đen</v>
      </c>
      <c r="F23" s="9" t="str">
        <f>F21</f>
        <v>GTAM</v>
      </c>
      <c r="G23" s="9" t="s">
        <v>516</v>
      </c>
      <c r="H23" s="9">
        <f t="shared" si="0"/>
        <v>12</v>
      </c>
      <c r="I23" s="9"/>
      <c r="J23" s="9"/>
      <c r="K23" s="9"/>
      <c r="L23" s="9"/>
      <c r="M23" s="9"/>
      <c r="N23" s="9"/>
      <c r="O23" s="9"/>
      <c r="P23" s="9" t="s">
        <v>13</v>
      </c>
      <c r="Q23" s="14"/>
      <c r="R23" s="14"/>
      <c r="X23" s="15" t="s">
        <v>13</v>
      </c>
    </row>
    <row r="24" spans="1:24" s="15" customFormat="1" ht="40.5" customHeight="1" x14ac:dyDescent="0.3">
      <c r="A24" s="14" t="s">
        <v>13</v>
      </c>
      <c r="B24" s="9" t="s">
        <v>517</v>
      </c>
      <c r="C24" s="9" t="s">
        <v>47</v>
      </c>
      <c r="D24" s="9" t="s">
        <v>518</v>
      </c>
      <c r="E24" s="9" t="str">
        <f>E23</f>
        <v>AL6061, anode màu đen</v>
      </c>
      <c r="F24" s="9" t="str">
        <f>F23</f>
        <v>GTAM</v>
      </c>
      <c r="G24" s="9" t="s">
        <v>519</v>
      </c>
      <c r="H24" s="9">
        <f t="shared" si="0"/>
        <v>6</v>
      </c>
      <c r="I24" s="9"/>
      <c r="J24" s="9"/>
      <c r="K24" s="9"/>
      <c r="L24" s="9"/>
      <c r="M24" s="9"/>
      <c r="N24" s="9"/>
      <c r="O24" s="9"/>
      <c r="P24" s="9" t="s">
        <v>13</v>
      </c>
      <c r="Q24" s="14"/>
      <c r="R24" s="14"/>
      <c r="X24" s="15" t="s">
        <v>13</v>
      </c>
    </row>
    <row r="25" spans="1:24" s="15" customFormat="1" ht="40.5" customHeight="1" x14ac:dyDescent="0.3">
      <c r="A25" s="14" t="s">
        <v>13</v>
      </c>
      <c r="B25" s="9" t="s">
        <v>520</v>
      </c>
      <c r="C25" s="9" t="s">
        <v>47</v>
      </c>
      <c r="D25" s="9" t="s">
        <v>521</v>
      </c>
      <c r="E25" s="9" t="str">
        <f>E24</f>
        <v>AL6061, anode màu đen</v>
      </c>
      <c r="F25" s="9" t="str">
        <f>F24</f>
        <v>GTAM</v>
      </c>
      <c r="G25" s="9" t="s">
        <v>519</v>
      </c>
      <c r="H25" s="9">
        <f t="shared" si="0"/>
        <v>6</v>
      </c>
      <c r="I25" s="9"/>
      <c r="J25" s="9"/>
      <c r="K25" s="9"/>
      <c r="L25" s="9"/>
      <c r="M25" s="9"/>
      <c r="N25" s="9"/>
      <c r="O25" s="9"/>
      <c r="P25" s="9" t="s">
        <v>13</v>
      </c>
      <c r="Q25" s="14"/>
      <c r="R25" s="14"/>
      <c r="X25" s="15" t="s">
        <v>13</v>
      </c>
    </row>
    <row r="26" spans="1:24" s="15" customFormat="1" ht="40.5" customHeight="1" x14ac:dyDescent="0.3">
      <c r="A26" s="14" t="s">
        <v>13</v>
      </c>
      <c r="B26" s="9" t="s">
        <v>522</v>
      </c>
      <c r="C26" s="9" t="s">
        <v>15</v>
      </c>
      <c r="D26" s="9" t="s">
        <v>523</v>
      </c>
      <c r="E26" s="9" t="s">
        <v>453</v>
      </c>
      <c r="F26" s="9" t="s">
        <v>25</v>
      </c>
      <c r="G26" s="9" t="s">
        <v>524</v>
      </c>
      <c r="H26" s="9">
        <f t="shared" si="0"/>
        <v>12</v>
      </c>
      <c r="I26" s="9"/>
      <c r="J26" s="9"/>
      <c r="K26" s="9"/>
      <c r="L26" s="9"/>
      <c r="M26" s="9"/>
      <c r="N26" s="9"/>
      <c r="O26" s="9"/>
      <c r="P26" s="9" t="s">
        <v>13</v>
      </c>
      <c r="Q26" s="14"/>
      <c r="R26" s="14"/>
      <c r="X26" s="15" t="s">
        <v>13</v>
      </c>
    </row>
    <row r="27" spans="1:24" s="15" customFormat="1" ht="40.5" customHeight="1" x14ac:dyDescent="0.3">
      <c r="A27" s="14" t="s">
        <v>13</v>
      </c>
      <c r="B27" s="9" t="s">
        <v>525</v>
      </c>
      <c r="C27" s="9" t="s">
        <v>47</v>
      </c>
      <c r="D27" s="9" t="s">
        <v>526</v>
      </c>
      <c r="E27" s="9" t="str">
        <f>E26</f>
        <v>PB108 màu đen</v>
      </c>
      <c r="F27" s="9" t="str">
        <f>F26</f>
        <v>GTAM</v>
      </c>
      <c r="G27" s="9" t="s">
        <v>527</v>
      </c>
      <c r="H27" s="9">
        <f t="shared" si="0"/>
        <v>6</v>
      </c>
      <c r="I27" s="9"/>
      <c r="J27" s="9"/>
      <c r="K27" s="9"/>
      <c r="L27" s="9"/>
      <c r="M27" s="9"/>
      <c r="N27" s="9"/>
      <c r="O27" s="9"/>
      <c r="P27" s="9" t="s">
        <v>13</v>
      </c>
      <c r="Q27" s="14"/>
      <c r="R27" s="14"/>
      <c r="X27" s="15" t="s">
        <v>13</v>
      </c>
    </row>
    <row r="28" spans="1:24" s="15" customFormat="1" ht="40.5" customHeight="1" x14ac:dyDescent="0.3">
      <c r="A28" s="14" t="s">
        <v>13</v>
      </c>
      <c r="B28" s="9" t="s">
        <v>528</v>
      </c>
      <c r="C28" s="9" t="s">
        <v>47</v>
      </c>
      <c r="D28" s="9" t="s">
        <v>529</v>
      </c>
      <c r="E28" s="9" t="s">
        <v>530</v>
      </c>
      <c r="F28" s="9" t="s">
        <v>26</v>
      </c>
      <c r="G28" s="9" t="s">
        <v>531</v>
      </c>
      <c r="H28" s="9">
        <f t="shared" si="0"/>
        <v>6</v>
      </c>
      <c r="I28" s="9" t="str">
        <f>I20</f>
        <v>đã chốt làm MAH toàn bộ, có hàng trc 4/4</v>
      </c>
      <c r="J28" s="9"/>
      <c r="K28" s="9"/>
      <c r="L28" s="9"/>
      <c r="M28" s="9"/>
      <c r="N28" s="9"/>
      <c r="O28" s="9"/>
      <c r="P28" s="9" t="s">
        <v>13</v>
      </c>
      <c r="Q28" s="14"/>
      <c r="R28" s="14"/>
      <c r="X28" s="15" t="s">
        <v>13</v>
      </c>
    </row>
    <row r="29" spans="1:24" s="15" customFormat="1" ht="40.5" customHeight="1" x14ac:dyDescent="0.3">
      <c r="A29" s="14" t="s">
        <v>13</v>
      </c>
      <c r="B29" s="9" t="s">
        <v>532</v>
      </c>
      <c r="C29" s="9" t="s">
        <v>47</v>
      </c>
      <c r="D29" s="9" t="s">
        <v>533</v>
      </c>
      <c r="E29" s="9" t="str">
        <f>E28</f>
        <v>SUS304, điện hóa</v>
      </c>
      <c r="F29" s="9" t="str">
        <f>F28</f>
        <v>CG</v>
      </c>
      <c r="G29" s="9" t="s">
        <v>534</v>
      </c>
      <c r="H29" s="9">
        <f t="shared" si="0"/>
        <v>6</v>
      </c>
      <c r="I29" s="9" t="str">
        <f>I28</f>
        <v>đã chốt làm MAH toàn bộ, có hàng trc 4/4</v>
      </c>
      <c r="J29" s="9"/>
      <c r="K29" s="9"/>
      <c r="L29" s="9"/>
      <c r="M29" s="9"/>
      <c r="N29" s="9"/>
      <c r="O29" s="9"/>
      <c r="P29" s="9" t="s">
        <v>13</v>
      </c>
      <c r="Q29" s="14"/>
      <c r="R29" s="14"/>
      <c r="X29" s="15" t="s">
        <v>13</v>
      </c>
    </row>
    <row r="30" spans="1:24" s="15" customFormat="1" ht="40.5" customHeight="1" x14ac:dyDescent="0.3">
      <c r="A30" s="14" t="s">
        <v>13</v>
      </c>
      <c r="B30" s="9" t="s">
        <v>535</v>
      </c>
      <c r="C30" s="9" t="s">
        <v>47</v>
      </c>
      <c r="D30" s="9" t="s">
        <v>536</v>
      </c>
      <c r="E30" s="9" t="str">
        <f>E29</f>
        <v>SUS304, điện hóa</v>
      </c>
      <c r="F30" s="9" t="str">
        <f>F29</f>
        <v>CG</v>
      </c>
      <c r="G30" s="9" t="s">
        <v>537</v>
      </c>
      <c r="H30" s="9">
        <f t="shared" si="0"/>
        <v>6</v>
      </c>
      <c r="I30" s="9" t="str">
        <f>I29</f>
        <v>đã chốt làm MAH toàn bộ, có hàng trc 4/4</v>
      </c>
      <c r="J30" s="9"/>
      <c r="K30" s="9"/>
      <c r="L30" s="9"/>
      <c r="M30" s="9"/>
      <c r="N30" s="9"/>
      <c r="O30" s="9"/>
      <c r="P30" s="9" t="s">
        <v>13</v>
      </c>
      <c r="Q30" s="14"/>
      <c r="R30" s="14"/>
      <c r="X30" s="15" t="s">
        <v>13</v>
      </c>
    </row>
    <row r="31" spans="1:24" s="15" customFormat="1" ht="40.5" customHeight="1" x14ac:dyDescent="0.3">
      <c r="A31" s="14" t="s">
        <v>13</v>
      </c>
      <c r="B31" s="9" t="s">
        <v>538</v>
      </c>
      <c r="C31" s="9" t="s">
        <v>15</v>
      </c>
      <c r="D31" s="9" t="s">
        <v>539</v>
      </c>
      <c r="E31" s="9" t="s">
        <v>334</v>
      </c>
      <c r="F31" s="9" t="s">
        <v>496</v>
      </c>
      <c r="G31" s="9" t="s">
        <v>540</v>
      </c>
      <c r="H31" s="9">
        <f t="shared" si="0"/>
        <v>12</v>
      </c>
      <c r="I31" s="9" t="str">
        <f>I17</f>
        <v>Ng đã đặt NCC mới cho đủ 84CV</v>
      </c>
      <c r="J31" s="9"/>
      <c r="K31" s="9"/>
      <c r="L31" s="9"/>
      <c r="M31" s="9"/>
      <c r="N31" s="9"/>
      <c r="O31" s="9"/>
      <c r="P31" s="9" t="s">
        <v>13</v>
      </c>
      <c r="Q31" s="14"/>
      <c r="R31" s="14"/>
      <c r="X31" s="15" t="s">
        <v>13</v>
      </c>
    </row>
    <row r="32" spans="1:24" s="15" customFormat="1" ht="40.5" customHeight="1" x14ac:dyDescent="0.3">
      <c r="A32" s="14" t="s">
        <v>13</v>
      </c>
      <c r="B32" s="9" t="s">
        <v>541</v>
      </c>
      <c r="C32" s="9" t="s">
        <v>47</v>
      </c>
      <c r="D32" s="9" t="s">
        <v>542</v>
      </c>
      <c r="E32" s="9" t="str">
        <f>E31</f>
        <v>ct trục, SUS304 điện hóa/ S45C mạ nikel</v>
      </c>
      <c r="F32" s="9" t="s">
        <v>31</v>
      </c>
      <c r="G32" s="9" t="s">
        <v>543</v>
      </c>
      <c r="H32" s="9">
        <f t="shared" si="0"/>
        <v>6</v>
      </c>
      <c r="I32" s="9" t="str">
        <f>I31</f>
        <v>Ng đã đặt NCC mới cho đủ 84CV</v>
      </c>
      <c r="J32" s="9"/>
      <c r="K32" s="9"/>
      <c r="L32" s="9"/>
      <c r="M32" s="9"/>
      <c r="N32" s="9"/>
      <c r="O32" s="9"/>
      <c r="P32" s="9" t="s">
        <v>13</v>
      </c>
      <c r="Q32" s="14"/>
      <c r="R32" s="14"/>
      <c r="X32" s="15" t="s">
        <v>13</v>
      </c>
    </row>
    <row r="33" spans="1:24" s="15" customFormat="1" ht="40.5" customHeight="1" x14ac:dyDescent="0.3">
      <c r="A33" s="14" t="s">
        <v>13</v>
      </c>
      <c r="B33" s="9" t="s">
        <v>544</v>
      </c>
      <c r="C33" s="9" t="s">
        <v>15</v>
      </c>
      <c r="D33" s="9" t="s">
        <v>545</v>
      </c>
      <c r="E33" s="9" t="str">
        <f>E25</f>
        <v>AL6061, anode màu đen</v>
      </c>
      <c r="F33" s="9" t="str">
        <f>F25</f>
        <v>GTAM</v>
      </c>
      <c r="G33" s="9" t="s">
        <v>546</v>
      </c>
      <c r="H33" s="9">
        <f t="shared" si="0"/>
        <v>12</v>
      </c>
      <c r="I33" s="9"/>
      <c r="J33" s="9"/>
      <c r="K33" s="9"/>
      <c r="L33" s="9"/>
      <c r="M33" s="9"/>
      <c r="N33" s="9"/>
      <c r="O33" s="9"/>
      <c r="P33" s="9" t="s">
        <v>13</v>
      </c>
      <c r="Q33" s="14"/>
      <c r="R33" s="14"/>
      <c r="X33" s="15" t="s">
        <v>13</v>
      </c>
    </row>
    <row r="34" spans="1:24" s="15" customFormat="1" ht="40.5" customHeight="1" x14ac:dyDescent="0.3">
      <c r="A34" s="14" t="s">
        <v>13</v>
      </c>
      <c r="B34" s="9" t="s">
        <v>547</v>
      </c>
      <c r="C34" s="9" t="s">
        <v>47</v>
      </c>
      <c r="D34" s="9" t="s">
        <v>548</v>
      </c>
      <c r="E34" s="9" t="str">
        <f>E26</f>
        <v>PB108 màu đen</v>
      </c>
      <c r="F34" s="9" t="str">
        <f>F33</f>
        <v>GTAM</v>
      </c>
      <c r="G34" s="9" t="s">
        <v>549</v>
      </c>
      <c r="H34" s="9">
        <f t="shared" si="0"/>
        <v>6</v>
      </c>
      <c r="I34" s="9"/>
      <c r="J34" s="9"/>
      <c r="K34" s="9"/>
      <c r="L34" s="9"/>
      <c r="M34" s="9"/>
      <c r="N34" s="9"/>
      <c r="O34" s="9"/>
      <c r="P34" s="9" t="s">
        <v>13</v>
      </c>
      <c r="Q34" s="14"/>
      <c r="R34" s="14"/>
      <c r="X34" s="15" t="s">
        <v>13</v>
      </c>
    </row>
    <row r="35" spans="1:24" s="15" customFormat="1" ht="40.5" customHeight="1" x14ac:dyDescent="0.3">
      <c r="A35" s="14" t="s">
        <v>13</v>
      </c>
      <c r="B35" s="9" t="s">
        <v>550</v>
      </c>
      <c r="C35" s="9" t="s">
        <v>47</v>
      </c>
      <c r="D35" s="9" t="s">
        <v>551</v>
      </c>
      <c r="E35" s="9" t="str">
        <f>E28</f>
        <v>SUS304, điện hóa</v>
      </c>
      <c r="F35" s="9" t="str">
        <f>F28</f>
        <v>CG</v>
      </c>
      <c r="G35" s="9" t="s">
        <v>506</v>
      </c>
      <c r="H35" s="9">
        <f t="shared" si="0"/>
        <v>6</v>
      </c>
      <c r="I35" s="9" t="str">
        <f>I30</f>
        <v>đã chốt làm MAH toàn bộ, có hàng trc 4/4</v>
      </c>
      <c r="J35" s="9"/>
      <c r="K35" s="9"/>
      <c r="L35" s="9"/>
      <c r="M35" s="9"/>
      <c r="N35" s="9"/>
      <c r="O35" s="9"/>
      <c r="P35" s="9" t="s">
        <v>13</v>
      </c>
      <c r="Q35" s="14"/>
      <c r="R35" s="14"/>
      <c r="X35" s="15" t="s">
        <v>13</v>
      </c>
    </row>
    <row r="36" spans="1:24" s="15" customFormat="1" ht="40.5" customHeight="1" x14ac:dyDescent="0.3">
      <c r="A36" s="14" t="s">
        <v>13</v>
      </c>
      <c r="B36" s="9" t="s">
        <v>552</v>
      </c>
      <c r="C36" s="9" t="s">
        <v>47</v>
      </c>
      <c r="D36" s="9" t="s">
        <v>553</v>
      </c>
      <c r="E36" s="9" t="s">
        <v>86</v>
      </c>
      <c r="F36" s="9" t="str">
        <f>F34</f>
        <v>GTAM</v>
      </c>
      <c r="G36" s="9" t="s">
        <v>554</v>
      </c>
      <c r="H36" s="9">
        <f t="shared" si="0"/>
        <v>6</v>
      </c>
      <c r="I36" s="9"/>
      <c r="J36" s="9"/>
      <c r="K36" s="9"/>
      <c r="L36" s="9"/>
      <c r="M36" s="9"/>
      <c r="N36" s="9"/>
      <c r="O36" s="9"/>
      <c r="P36" s="9" t="s">
        <v>13</v>
      </c>
      <c r="Q36" s="14"/>
      <c r="R36" s="14"/>
      <c r="X36" s="15" t="s">
        <v>13</v>
      </c>
    </row>
    <row r="37" spans="1:24" s="15" customFormat="1" ht="40.5" customHeight="1" x14ac:dyDescent="0.3">
      <c r="A37" s="14" t="s">
        <v>13</v>
      </c>
      <c r="B37" s="9" t="s">
        <v>555</v>
      </c>
      <c r="C37" s="9" t="s">
        <v>47</v>
      </c>
      <c r="D37" s="9" t="s">
        <v>556</v>
      </c>
      <c r="E37" s="9" t="str">
        <f>E15</f>
        <v>AL6061, anode màu đen</v>
      </c>
      <c r="F37" s="9" t="str">
        <f>F15</f>
        <v>GTAM</v>
      </c>
      <c r="G37" s="9" t="s">
        <v>490</v>
      </c>
      <c r="H37" s="9">
        <f t="shared" si="0"/>
        <v>6</v>
      </c>
      <c r="I37" s="9"/>
      <c r="J37" s="9"/>
      <c r="K37" s="9"/>
      <c r="L37" s="9"/>
      <c r="M37" s="9"/>
      <c r="N37" s="9"/>
      <c r="O37" s="9"/>
      <c r="P37" s="9" t="s">
        <v>13</v>
      </c>
      <c r="Q37" s="14"/>
      <c r="R37" s="14"/>
      <c r="X37" s="15" t="s">
        <v>13</v>
      </c>
    </row>
    <row r="38" spans="1:24" s="15" customFormat="1" ht="40.5" customHeight="1" x14ac:dyDescent="0.3">
      <c r="A38" s="14" t="s">
        <v>13</v>
      </c>
      <c r="B38" s="9" t="s">
        <v>557</v>
      </c>
      <c r="C38" s="9" t="s">
        <v>47</v>
      </c>
      <c r="D38" s="9" t="s">
        <v>558</v>
      </c>
      <c r="E38" s="9" t="str">
        <f>E12</f>
        <v>động cơ S6I06GX-V12/ bộ điều khiển tốc độ đi kèm</v>
      </c>
      <c r="F38" s="9" t="str">
        <f>F12</f>
        <v>SPG</v>
      </c>
      <c r="G38" s="9" t="s">
        <v>481</v>
      </c>
      <c r="H38" s="9">
        <f t="shared" si="0"/>
        <v>6</v>
      </c>
      <c r="I38" s="9"/>
      <c r="J38" s="9"/>
      <c r="K38" s="9"/>
      <c r="L38" s="9"/>
      <c r="M38" s="9"/>
      <c r="N38" s="9"/>
      <c r="O38" s="9"/>
      <c r="P38" s="9" t="s">
        <v>13</v>
      </c>
      <c r="Q38" s="14"/>
      <c r="R38" s="14"/>
      <c r="X38" s="15" t="s">
        <v>13</v>
      </c>
    </row>
    <row r="39" spans="1:24" s="15" customFormat="1" ht="40.5" customHeight="1" x14ac:dyDescent="0.3">
      <c r="A39" s="14" t="s">
        <v>13</v>
      </c>
      <c r="B39" s="9" t="s">
        <v>559</v>
      </c>
      <c r="C39" s="9" t="s">
        <v>47</v>
      </c>
      <c r="D39" s="9" t="s">
        <v>560</v>
      </c>
      <c r="E39" s="9" t="str">
        <f>E13</f>
        <v>Hộp số S6KA15B</v>
      </c>
      <c r="F39" s="9" t="str">
        <f>F13</f>
        <v>SPG</v>
      </c>
      <c r="G39" s="9" t="s">
        <v>485</v>
      </c>
      <c r="H39" s="9">
        <f t="shared" si="0"/>
        <v>6</v>
      </c>
      <c r="I39" s="9"/>
      <c r="J39" s="9"/>
      <c r="K39" s="9"/>
      <c r="L39" s="9"/>
      <c r="M39" s="9"/>
      <c r="N39" s="9"/>
      <c r="O39" s="9"/>
      <c r="P39" s="9" t="s">
        <v>13</v>
      </c>
      <c r="Q39" s="14"/>
      <c r="R39" s="14"/>
      <c r="X39" s="15" t="s">
        <v>13</v>
      </c>
    </row>
    <row r="40" spans="1:24" s="15" customFormat="1" ht="40.5" customHeight="1" x14ac:dyDescent="0.3">
      <c r="A40" s="14" t="s">
        <v>13</v>
      </c>
      <c r="B40" s="9" t="s">
        <v>561</v>
      </c>
      <c r="C40" s="9" t="s">
        <v>15</v>
      </c>
      <c r="D40" s="9" t="s">
        <v>161</v>
      </c>
      <c r="E40" s="9" t="s">
        <v>71</v>
      </c>
      <c r="F40" s="9" t="str">
        <f>F10</f>
        <v>UP</v>
      </c>
      <c r="G40" s="9" t="s">
        <v>72</v>
      </c>
      <c r="H40" s="9">
        <f t="shared" si="0"/>
        <v>12</v>
      </c>
      <c r="I40" s="9" t="str">
        <f>I10</f>
        <v>đã nhận hàng 30/3</v>
      </c>
      <c r="J40" s="9"/>
      <c r="K40" s="9"/>
      <c r="L40" s="9"/>
      <c r="M40" s="9"/>
      <c r="N40" s="9"/>
      <c r="O40" s="9"/>
      <c r="P40" s="9" t="s">
        <v>13</v>
      </c>
      <c r="Q40" s="14"/>
      <c r="R40" s="14"/>
      <c r="X40" s="15" t="s">
        <v>13</v>
      </c>
    </row>
    <row r="41" spans="1:24" s="15" customFormat="1" ht="40.5" customHeight="1" x14ac:dyDescent="0.3">
      <c r="A41" s="14" t="s">
        <v>13</v>
      </c>
      <c r="B41" s="9" t="s">
        <v>562</v>
      </c>
      <c r="C41" s="9" t="s">
        <v>15</v>
      </c>
      <c r="D41" s="9" t="s">
        <v>163</v>
      </c>
      <c r="E41" s="9" t="str">
        <f>E11</f>
        <v>chốt cài KES3-12</v>
      </c>
      <c r="F41" s="9" t="str">
        <f>F11</f>
        <v>Then cài</v>
      </c>
      <c r="G41" s="9" t="s">
        <v>76</v>
      </c>
      <c r="H41" s="9">
        <f t="shared" si="0"/>
        <v>12</v>
      </c>
      <c r="I41" s="9" t="str">
        <f>I11</f>
        <v>đã tồn kho sẵn</v>
      </c>
      <c r="J41" s="9"/>
      <c r="K41" s="9"/>
      <c r="L41" s="9"/>
      <c r="M41" s="9"/>
      <c r="N41" s="9"/>
      <c r="O41" s="9"/>
      <c r="P41" s="9" t="s">
        <v>13</v>
      </c>
      <c r="Q41" s="14"/>
      <c r="R41" s="14"/>
      <c r="X41" s="15" t="s">
        <v>13</v>
      </c>
    </row>
    <row r="42" spans="1:24" s="15" customFormat="1" ht="40.5" customHeight="1" x14ac:dyDescent="0.3">
      <c r="A42" s="14" t="s">
        <v>13</v>
      </c>
      <c r="B42" s="9" t="s">
        <v>563</v>
      </c>
      <c r="C42" s="9" t="s">
        <v>47</v>
      </c>
      <c r="D42" s="9" t="s">
        <v>564</v>
      </c>
      <c r="E42" s="9" t="s">
        <v>565</v>
      </c>
      <c r="F42" s="9" t="str">
        <f>F9</f>
        <v>MI</v>
      </c>
      <c r="G42" s="9" t="s">
        <v>473</v>
      </c>
      <c r="H42" s="9">
        <f t="shared" si="0"/>
        <v>6</v>
      </c>
      <c r="I42" s="9" t="str">
        <f>I9</f>
        <v>31/3 và 3/4 nhận đủ hàng</v>
      </c>
      <c r="J42" s="9"/>
      <c r="K42" s="9"/>
      <c r="L42" s="9"/>
      <c r="M42" s="9"/>
      <c r="N42" s="9"/>
      <c r="O42" s="9"/>
      <c r="P42" s="9" t="s">
        <v>13</v>
      </c>
      <c r="Q42" s="14"/>
      <c r="R42" s="14"/>
      <c r="X42" s="15" t="s">
        <v>13</v>
      </c>
    </row>
    <row r="43" spans="1:24" s="15" customFormat="1" ht="40.5" customHeight="1" x14ac:dyDescent="0.3">
      <c r="A43" s="14" t="s">
        <v>13</v>
      </c>
      <c r="B43" s="9" t="s">
        <v>566</v>
      </c>
      <c r="C43" s="9" t="s">
        <v>21</v>
      </c>
      <c r="D43" s="9" t="s">
        <v>567</v>
      </c>
      <c r="E43" s="9" t="s">
        <v>13</v>
      </c>
      <c r="F43" s="9" t="s">
        <v>568</v>
      </c>
      <c r="G43" s="9" t="s">
        <v>569</v>
      </c>
      <c r="H43" s="9">
        <f t="shared" si="0"/>
        <v>24</v>
      </c>
      <c r="I43" s="9" t="s">
        <v>33</v>
      </c>
      <c r="J43" s="9"/>
      <c r="K43" s="9"/>
      <c r="L43" s="9"/>
      <c r="M43" s="9"/>
      <c r="N43" s="9"/>
      <c r="O43" s="9"/>
      <c r="P43" s="9" t="s">
        <v>13</v>
      </c>
      <c r="Q43" s="14"/>
      <c r="R43" s="14"/>
      <c r="X43" s="15" t="s">
        <v>13</v>
      </c>
    </row>
    <row r="44" spans="1:24" s="15" customFormat="1" ht="40.5" customHeight="1" x14ac:dyDescent="0.3">
      <c r="A44" s="14" t="s">
        <v>13</v>
      </c>
      <c r="B44" s="9" t="s">
        <v>570</v>
      </c>
      <c r="C44" s="9" t="s">
        <v>47</v>
      </c>
      <c r="D44" s="9" t="s">
        <v>571</v>
      </c>
      <c r="E44" s="9" t="str">
        <f>E34</f>
        <v>PB108 màu đen</v>
      </c>
      <c r="F44" s="9" t="str">
        <f>F34</f>
        <v>GTAM</v>
      </c>
      <c r="G44" s="9" t="s">
        <v>549</v>
      </c>
      <c r="H44" s="9">
        <f t="shared" si="0"/>
        <v>6</v>
      </c>
      <c r="I44" s="9"/>
      <c r="J44" s="9"/>
      <c r="K44" s="9"/>
      <c r="L44" s="9"/>
      <c r="M44" s="9"/>
      <c r="N44" s="9"/>
      <c r="O44" s="9"/>
      <c r="P44" s="9" t="s">
        <v>13</v>
      </c>
      <c r="Q44" s="14"/>
      <c r="R44" s="14"/>
      <c r="X44" s="15" t="s">
        <v>13</v>
      </c>
    </row>
    <row r="45" spans="1:24" s="15" customFormat="1" ht="40.5" customHeight="1" x14ac:dyDescent="0.3">
      <c r="A45" s="14" t="s">
        <v>13</v>
      </c>
      <c r="B45" s="9" t="s">
        <v>572</v>
      </c>
      <c r="C45" s="9" t="s">
        <v>573</v>
      </c>
      <c r="D45" s="9" t="s">
        <v>574</v>
      </c>
      <c r="E45" s="9">
        <v>0</v>
      </c>
      <c r="F45" s="9" t="s">
        <v>458</v>
      </c>
      <c r="G45" s="9" t="s">
        <v>459</v>
      </c>
      <c r="H45" s="9">
        <f t="shared" si="0"/>
        <v>108</v>
      </c>
      <c r="I45" s="9"/>
      <c r="J45" s="9"/>
      <c r="K45" s="9"/>
      <c r="L45" s="9"/>
      <c r="M45" s="9"/>
      <c r="N45" s="9"/>
      <c r="O45" s="9"/>
      <c r="P45" s="9" t="s">
        <v>13</v>
      </c>
      <c r="Q45" s="14"/>
      <c r="R45" s="14"/>
      <c r="X45" s="15" t="s">
        <v>13</v>
      </c>
    </row>
    <row r="46" spans="1:24" s="15" customFormat="1" ht="40.5" customHeight="1" x14ac:dyDescent="0.3">
      <c r="A46" s="14" t="s">
        <v>13</v>
      </c>
      <c r="B46" s="9" t="s">
        <v>575</v>
      </c>
      <c r="C46" s="9" t="s">
        <v>21</v>
      </c>
      <c r="D46" s="9" t="s">
        <v>576</v>
      </c>
      <c r="E46" s="9" t="s">
        <v>577</v>
      </c>
      <c r="F46" s="9" t="s">
        <v>37</v>
      </c>
      <c r="G46" s="9" t="s">
        <v>60</v>
      </c>
      <c r="H46" s="9">
        <f t="shared" si="0"/>
        <v>24</v>
      </c>
      <c r="I46" s="9" t="str">
        <f>I8</f>
        <v>hàng đã về</v>
      </c>
      <c r="J46" s="9"/>
      <c r="K46" s="9"/>
      <c r="L46" s="9"/>
      <c r="M46" s="9"/>
      <c r="N46" s="9"/>
      <c r="O46" s="9"/>
      <c r="P46" s="9" t="s">
        <v>13</v>
      </c>
      <c r="Q46" s="14"/>
      <c r="R46" s="14"/>
      <c r="X46" s="15" t="s">
        <v>13</v>
      </c>
    </row>
    <row r="47" spans="1:24" s="15" customFormat="1" ht="40.5" customHeight="1" x14ac:dyDescent="0.3">
      <c r="A47" s="14" t="s">
        <v>13</v>
      </c>
      <c r="B47" s="9" t="s">
        <v>578</v>
      </c>
      <c r="C47" s="9" t="s">
        <v>15</v>
      </c>
      <c r="D47" s="9" t="s">
        <v>579</v>
      </c>
      <c r="E47" s="9" t="s">
        <v>580</v>
      </c>
      <c r="F47" s="9" t="s">
        <v>18</v>
      </c>
      <c r="G47" s="9" t="s">
        <v>581</v>
      </c>
      <c r="H47" s="9">
        <f t="shared" si="0"/>
        <v>12</v>
      </c>
      <c r="I47" s="9" t="str">
        <f>I22</f>
        <v>đã chốt đặt hàng</v>
      </c>
      <c r="J47" s="9"/>
      <c r="K47" s="9"/>
      <c r="L47" s="9"/>
      <c r="M47" s="9"/>
      <c r="N47" s="9"/>
      <c r="O47" s="9"/>
      <c r="P47" s="9" t="s">
        <v>13</v>
      </c>
      <c r="Q47" s="14"/>
      <c r="R47" s="14"/>
      <c r="X47" s="15" t="s">
        <v>13</v>
      </c>
    </row>
    <row r="48" spans="1:24" s="15" customFormat="1" ht="40.5" customHeight="1" x14ac:dyDescent="0.3">
      <c r="A48" s="14" t="s">
        <v>13</v>
      </c>
      <c r="B48" s="9" t="s">
        <v>582</v>
      </c>
      <c r="C48" s="9" t="s">
        <v>47</v>
      </c>
      <c r="D48" s="9" t="s">
        <v>583</v>
      </c>
      <c r="E48" s="9" t="s">
        <v>41</v>
      </c>
      <c r="F48" s="9" t="s">
        <v>25</v>
      </c>
      <c r="G48" s="9" t="s">
        <v>584</v>
      </c>
      <c r="H48" s="9">
        <f t="shared" si="0"/>
        <v>6</v>
      </c>
      <c r="I48" s="9"/>
      <c r="J48" s="9"/>
      <c r="K48" s="9"/>
      <c r="L48" s="9"/>
      <c r="M48" s="9"/>
      <c r="N48" s="9"/>
      <c r="O48" s="9"/>
      <c r="P48" s="9" t="s">
        <v>13</v>
      </c>
      <c r="Q48" s="14"/>
      <c r="R48" s="14"/>
      <c r="X48" s="15" t="s">
        <v>13</v>
      </c>
    </row>
    <row r="49" spans="1:24" s="15" customFormat="1" ht="40.5" customHeight="1" x14ac:dyDescent="0.3">
      <c r="A49" s="14" t="s">
        <v>13</v>
      </c>
      <c r="B49" s="9" t="s">
        <v>585</v>
      </c>
      <c r="C49" s="9" t="s">
        <v>47</v>
      </c>
      <c r="D49" s="9" t="s">
        <v>586</v>
      </c>
      <c r="E49" s="9" t="str">
        <f>E48</f>
        <v>AL6061, anode màu đen</v>
      </c>
      <c r="F49" s="9" t="str">
        <f>F48</f>
        <v>GTAM</v>
      </c>
      <c r="G49" s="9" t="s">
        <v>584</v>
      </c>
      <c r="H49" s="9">
        <f t="shared" si="0"/>
        <v>6</v>
      </c>
      <c r="I49" s="9"/>
      <c r="J49" s="9"/>
      <c r="K49" s="9"/>
      <c r="L49" s="9"/>
      <c r="M49" s="9"/>
      <c r="N49" s="9"/>
      <c r="O49" s="9"/>
      <c r="P49" s="9" t="s">
        <v>13</v>
      </c>
      <c r="Q49" s="14"/>
      <c r="R49" s="14"/>
      <c r="X49" s="15" t="s">
        <v>13</v>
      </c>
    </row>
    <row r="50" spans="1:24" s="15" customFormat="1" ht="40.5" customHeight="1" x14ac:dyDescent="0.3">
      <c r="A50" s="14" t="s">
        <v>13</v>
      </c>
      <c r="B50" s="9" t="s">
        <v>587</v>
      </c>
      <c r="C50" s="9" t="s">
        <v>15</v>
      </c>
      <c r="D50" s="9" t="s">
        <v>588</v>
      </c>
      <c r="E50" s="9" t="str">
        <f>E14</f>
        <v>AL6061, anode màu đen</v>
      </c>
      <c r="F50" s="9" t="str">
        <f>F14</f>
        <v>GTAM</v>
      </c>
      <c r="G50" s="9" t="s">
        <v>136</v>
      </c>
      <c r="H50" s="9">
        <f t="shared" si="0"/>
        <v>12</v>
      </c>
      <c r="I50" s="9"/>
      <c r="J50" s="9"/>
      <c r="K50" s="9"/>
      <c r="L50" s="9"/>
      <c r="M50" s="9"/>
      <c r="N50" s="9"/>
      <c r="O50" s="9"/>
      <c r="P50" s="9" t="s">
        <v>13</v>
      </c>
      <c r="Q50" s="14"/>
      <c r="R50" s="14"/>
      <c r="X50" s="15" t="s">
        <v>13</v>
      </c>
    </row>
    <row r="51" spans="1:24" s="15" customFormat="1" ht="40.5" customHeight="1" x14ac:dyDescent="0.3">
      <c r="A51" s="14" t="s">
        <v>13</v>
      </c>
      <c r="B51" s="9" t="s">
        <v>589</v>
      </c>
      <c r="C51" s="9" t="s">
        <v>21</v>
      </c>
      <c r="D51" s="9" t="s">
        <v>590</v>
      </c>
      <c r="E51" s="9" t="s">
        <v>41</v>
      </c>
      <c r="F51" s="9" t="str">
        <f>F48</f>
        <v>GTAM</v>
      </c>
      <c r="G51" s="9" t="s">
        <v>591</v>
      </c>
      <c r="H51" s="9">
        <f t="shared" si="0"/>
        <v>24</v>
      </c>
      <c r="I51" s="9"/>
      <c r="J51" s="9"/>
      <c r="K51" s="9"/>
      <c r="L51" s="9"/>
      <c r="M51" s="9"/>
      <c r="N51" s="9"/>
      <c r="O51" s="9"/>
      <c r="P51" s="9" t="s">
        <v>13</v>
      </c>
      <c r="Q51" s="14"/>
      <c r="R51" s="14"/>
      <c r="X51" s="15" t="s">
        <v>13</v>
      </c>
    </row>
    <row r="52" spans="1:24" s="15" customFormat="1" ht="40.5" customHeight="1" x14ac:dyDescent="0.3">
      <c r="A52" s="14" t="s">
        <v>13</v>
      </c>
      <c r="B52" s="9" t="s">
        <v>592</v>
      </c>
      <c r="C52" s="9" t="s">
        <v>47</v>
      </c>
      <c r="D52" s="9" t="s">
        <v>593</v>
      </c>
      <c r="E52" s="9" t="str">
        <f>E44</f>
        <v>PB108 màu đen</v>
      </c>
      <c r="F52" s="9" t="str">
        <f>F44</f>
        <v>GTAM</v>
      </c>
      <c r="G52" s="9" t="s">
        <v>594</v>
      </c>
      <c r="H52" s="9">
        <f t="shared" si="0"/>
        <v>6</v>
      </c>
      <c r="I52" s="9"/>
      <c r="J52" s="9"/>
      <c r="K52" s="9"/>
      <c r="L52" s="9"/>
      <c r="M52" s="9"/>
      <c r="N52" s="9"/>
      <c r="O52" s="9"/>
      <c r="P52" s="9" t="s">
        <v>13</v>
      </c>
      <c r="Q52" s="14"/>
      <c r="R52" s="14"/>
      <c r="X52" s="15" t="s">
        <v>13</v>
      </c>
    </row>
    <row r="53" spans="1:24" s="15" customFormat="1" ht="40.5" customHeight="1" x14ac:dyDescent="0.3">
      <c r="A53" s="14" t="s">
        <v>13</v>
      </c>
      <c r="B53" s="9" t="s">
        <v>595</v>
      </c>
      <c r="C53" s="9" t="s">
        <v>47</v>
      </c>
      <c r="D53" s="9" t="s">
        <v>596</v>
      </c>
      <c r="E53" s="9" t="str">
        <f>E52</f>
        <v>PB108 màu đen</v>
      </c>
      <c r="F53" s="9" t="str">
        <f>F52</f>
        <v>GTAM</v>
      </c>
      <c r="G53" s="9" t="s">
        <v>594</v>
      </c>
      <c r="H53" s="9">
        <f t="shared" si="0"/>
        <v>6</v>
      </c>
      <c r="I53" s="9"/>
      <c r="J53" s="9"/>
      <c r="K53" s="9"/>
      <c r="L53" s="9"/>
      <c r="M53" s="9"/>
      <c r="N53" s="9"/>
      <c r="O53" s="9"/>
      <c r="P53" s="9" t="s">
        <v>13</v>
      </c>
      <c r="Q53" s="14"/>
      <c r="R53" s="14"/>
      <c r="X53" s="15" t="s">
        <v>13</v>
      </c>
    </row>
    <row r="54" spans="1:24" s="15" customFormat="1" ht="40.5" customHeight="1" x14ac:dyDescent="0.3">
      <c r="A54" s="14" t="s">
        <v>13</v>
      </c>
      <c r="B54" s="9" t="s">
        <v>597</v>
      </c>
      <c r="C54" s="9" t="s">
        <v>15</v>
      </c>
      <c r="D54" s="9" t="s">
        <v>598</v>
      </c>
      <c r="E54" s="9" t="s">
        <v>453</v>
      </c>
      <c r="F54" s="9" t="s">
        <v>25</v>
      </c>
      <c r="G54" s="9" t="s">
        <v>599</v>
      </c>
      <c r="H54" s="9">
        <f t="shared" si="0"/>
        <v>12</v>
      </c>
      <c r="I54" s="9"/>
      <c r="J54" s="9"/>
      <c r="K54" s="9"/>
      <c r="L54" s="9"/>
      <c r="M54" s="9"/>
      <c r="N54" s="9"/>
      <c r="O54" s="9"/>
      <c r="P54" s="9" t="s">
        <v>13</v>
      </c>
      <c r="Q54" s="14"/>
      <c r="R54" s="14"/>
      <c r="X54" s="15" t="s">
        <v>13</v>
      </c>
    </row>
    <row r="55" spans="1:24" s="15" customFormat="1" ht="40.5" customHeight="1" x14ac:dyDescent="0.3">
      <c r="A55" s="14" t="s">
        <v>13</v>
      </c>
      <c r="B55" s="9" t="s">
        <v>600</v>
      </c>
      <c r="C55" s="9" t="s">
        <v>15</v>
      </c>
      <c r="D55" s="9" t="s">
        <v>601</v>
      </c>
      <c r="E55" s="9" t="s">
        <v>453</v>
      </c>
      <c r="F55" s="9" t="s">
        <v>25</v>
      </c>
      <c r="G55" s="9" t="s">
        <v>602</v>
      </c>
      <c r="H55" s="9">
        <f t="shared" si="0"/>
        <v>12</v>
      </c>
      <c r="I55" s="9"/>
      <c r="J55" s="9"/>
      <c r="K55" s="9"/>
      <c r="L55" s="9"/>
      <c r="M55" s="9"/>
      <c r="N55" s="9"/>
      <c r="O55" s="9"/>
      <c r="P55" s="9" t="s">
        <v>13</v>
      </c>
      <c r="Q55" s="14"/>
      <c r="R55" s="14"/>
      <c r="X55" s="15" t="s">
        <v>13</v>
      </c>
    </row>
    <row r="56" spans="1:24" s="15" customFormat="1" ht="40.5" customHeight="1" x14ac:dyDescent="0.3">
      <c r="A56" s="14" t="s">
        <v>13</v>
      </c>
      <c r="B56" s="9" t="s">
        <v>603</v>
      </c>
      <c r="C56" s="9" t="s">
        <v>15</v>
      </c>
      <c r="D56" s="9" t="s">
        <v>604</v>
      </c>
      <c r="E56" s="9" t="s">
        <v>530</v>
      </c>
      <c r="F56" s="9" t="s">
        <v>26</v>
      </c>
      <c r="G56" s="9" t="s">
        <v>605</v>
      </c>
      <c r="H56" s="9">
        <f t="shared" si="0"/>
        <v>12</v>
      </c>
      <c r="I56" s="9" t="str">
        <f>I35</f>
        <v>đã chốt làm MAH toàn bộ, có hàng trc 4/4</v>
      </c>
      <c r="J56" s="9"/>
      <c r="K56" s="9"/>
      <c r="L56" s="9"/>
      <c r="M56" s="9"/>
      <c r="N56" s="9"/>
      <c r="O56" s="9"/>
      <c r="P56" s="9" t="s">
        <v>13</v>
      </c>
      <c r="Q56" s="14"/>
      <c r="R56" s="14"/>
      <c r="X56" s="15" t="s">
        <v>13</v>
      </c>
    </row>
    <row r="57" spans="1:24" s="15" customFormat="1" ht="40.5" customHeight="1" x14ac:dyDescent="0.3">
      <c r="A57" s="14" t="s">
        <v>13</v>
      </c>
      <c r="B57" s="9" t="s">
        <v>606</v>
      </c>
      <c r="C57" s="9" t="s">
        <v>15</v>
      </c>
      <c r="D57" s="9" t="s">
        <v>607</v>
      </c>
      <c r="E57" s="9" t="str">
        <f>E17</f>
        <v>SUS304</v>
      </c>
      <c r="F57" s="9" t="str">
        <f>F17</f>
        <v>LINH</v>
      </c>
      <c r="G57" s="9" t="s">
        <v>497</v>
      </c>
      <c r="H57" s="9">
        <f t="shared" si="0"/>
        <v>12</v>
      </c>
      <c r="I57" s="9" t="str">
        <f>I31</f>
        <v>Ng đã đặt NCC mới cho đủ 84CV</v>
      </c>
      <c r="J57" s="9"/>
      <c r="K57" s="9"/>
      <c r="L57" s="9"/>
      <c r="M57" s="9"/>
      <c r="N57" s="9"/>
      <c r="O57" s="9"/>
      <c r="P57" s="9" t="s">
        <v>13</v>
      </c>
      <c r="Q57" s="14"/>
      <c r="R57" s="14"/>
      <c r="X57" s="15" t="s">
        <v>13</v>
      </c>
    </row>
    <row r="58" spans="1:24" s="15" customFormat="1" ht="40.5" customHeight="1" x14ac:dyDescent="0.3">
      <c r="A58" s="14" t="s">
        <v>13</v>
      </c>
      <c r="B58" s="9" t="s">
        <v>608</v>
      </c>
      <c r="C58" s="9" t="s">
        <v>15</v>
      </c>
      <c r="D58" s="9" t="s">
        <v>609</v>
      </c>
      <c r="E58" s="9" t="str">
        <f>E31</f>
        <v>ct trục, SUS304 điện hóa/ S45C mạ nikel</v>
      </c>
      <c r="F58" s="9" t="str">
        <f>F31</f>
        <v>LINH</v>
      </c>
      <c r="G58" s="9" t="s">
        <v>540</v>
      </c>
      <c r="H58" s="9">
        <f t="shared" si="0"/>
        <v>12</v>
      </c>
      <c r="I58" s="9" t="str">
        <f>I57</f>
        <v>Ng đã đặt NCC mới cho đủ 84CV</v>
      </c>
      <c r="J58" s="9"/>
      <c r="K58" s="9"/>
      <c r="L58" s="9"/>
      <c r="M58" s="9"/>
      <c r="N58" s="9"/>
      <c r="O58" s="9"/>
      <c r="P58" s="9" t="s">
        <v>13</v>
      </c>
      <c r="Q58" s="14"/>
      <c r="R58" s="14"/>
      <c r="X58" s="15" t="s">
        <v>13</v>
      </c>
    </row>
    <row r="59" spans="1:24" s="15" customFormat="1" ht="40.5" customHeight="1" x14ac:dyDescent="0.3">
      <c r="A59" s="14" t="s">
        <v>13</v>
      </c>
      <c r="B59" s="9" t="s">
        <v>610</v>
      </c>
      <c r="C59" s="9" t="s">
        <v>15</v>
      </c>
      <c r="D59" s="9" t="s">
        <v>611</v>
      </c>
      <c r="E59" s="9" t="str">
        <f>E18</f>
        <v>SUS304 điện hóa/ S45C mạ nikel- có lăn nhám</v>
      </c>
      <c r="F59" s="9" t="str">
        <f>F19</f>
        <v>PG</v>
      </c>
      <c r="G59" s="9" t="s">
        <v>56</v>
      </c>
      <c r="H59" s="9">
        <f t="shared" si="0"/>
        <v>12</v>
      </c>
      <c r="I59" s="9" t="str">
        <f>I58</f>
        <v>Ng đã đặt NCC mới cho đủ 84CV</v>
      </c>
      <c r="J59" s="9"/>
      <c r="K59" s="9"/>
      <c r="L59" s="9"/>
      <c r="M59" s="9"/>
      <c r="N59" s="9"/>
      <c r="O59" s="9"/>
      <c r="P59" s="9" t="s">
        <v>13</v>
      </c>
      <c r="Q59" s="14"/>
      <c r="R59" s="14"/>
      <c r="X59" s="15" t="s">
        <v>13</v>
      </c>
    </row>
    <row r="60" spans="1:24" s="15" customFormat="1" ht="40.5" customHeight="1" x14ac:dyDescent="0.3">
      <c r="A60" s="14" t="s">
        <v>13</v>
      </c>
      <c r="B60" s="9" t="s">
        <v>612</v>
      </c>
      <c r="C60" s="9" t="s">
        <v>21</v>
      </c>
      <c r="D60" s="9" t="s">
        <v>613</v>
      </c>
      <c r="E60" s="9" t="s">
        <v>41</v>
      </c>
      <c r="F60" s="9" t="s">
        <v>25</v>
      </c>
      <c r="G60" s="9" t="s">
        <v>614</v>
      </c>
      <c r="H60" s="9">
        <f t="shared" si="0"/>
        <v>24</v>
      </c>
      <c r="I60" s="9"/>
      <c r="J60" s="9"/>
      <c r="K60" s="9"/>
      <c r="L60" s="9"/>
      <c r="M60" s="9"/>
      <c r="N60" s="9"/>
      <c r="O60" s="9"/>
      <c r="P60" s="9" t="s">
        <v>13</v>
      </c>
      <c r="Q60" s="14"/>
      <c r="R60" s="14"/>
      <c r="X60" s="15" t="s">
        <v>13</v>
      </c>
    </row>
    <row r="61" spans="1:24" s="15" customFormat="1" ht="40.5" customHeight="1" x14ac:dyDescent="0.3">
      <c r="A61" s="14" t="s">
        <v>13</v>
      </c>
      <c r="B61" s="9" t="s">
        <v>615</v>
      </c>
      <c r="C61" s="9" t="s">
        <v>15</v>
      </c>
      <c r="D61" s="9" t="s">
        <v>616</v>
      </c>
      <c r="E61" s="9" t="str">
        <f>E19</f>
        <v>SUS304 điện hóa/ S45C mạ nikel</v>
      </c>
      <c r="F61" s="9" t="str">
        <f>F59</f>
        <v>PG</v>
      </c>
      <c r="G61" s="9" t="s">
        <v>56</v>
      </c>
      <c r="H61" s="9">
        <f t="shared" si="0"/>
        <v>12</v>
      </c>
      <c r="I61" s="9" t="str">
        <f>I59</f>
        <v>Ng đã đặt NCC mới cho đủ 84CV</v>
      </c>
      <c r="J61" s="9"/>
      <c r="K61" s="9"/>
      <c r="L61" s="9"/>
      <c r="M61" s="9"/>
      <c r="N61" s="9"/>
      <c r="O61" s="9"/>
      <c r="P61" s="9" t="s">
        <v>13</v>
      </c>
      <c r="Q61" s="14"/>
      <c r="R61" s="14"/>
      <c r="X61" s="15" t="s">
        <v>13</v>
      </c>
    </row>
    <row r="62" spans="1:24" s="15" customFormat="1" ht="40.5" customHeight="1" x14ac:dyDescent="0.3">
      <c r="A62" s="14" t="s">
        <v>13</v>
      </c>
      <c r="B62" s="9" t="s">
        <v>617</v>
      </c>
      <c r="C62" s="9" t="s">
        <v>15</v>
      </c>
      <c r="D62" s="9" t="s">
        <v>618</v>
      </c>
      <c r="E62" s="9" t="str">
        <f>E7</f>
        <v>Vòng bi 6000ZZ</v>
      </c>
      <c r="F62" s="9" t="str">
        <f>F7</f>
        <v>VB</v>
      </c>
      <c r="G62" s="9" t="s">
        <v>140</v>
      </c>
      <c r="H62" s="9">
        <f t="shared" si="0"/>
        <v>12</v>
      </c>
      <c r="I62" s="9" t="str">
        <f>I46</f>
        <v>hàng đã về</v>
      </c>
      <c r="J62" s="9"/>
      <c r="K62" s="9"/>
      <c r="L62" s="9"/>
      <c r="M62" s="9"/>
      <c r="N62" s="9"/>
      <c r="O62" s="9"/>
      <c r="P62" s="9" t="s">
        <v>13</v>
      </c>
      <c r="Q62" s="14"/>
      <c r="R62" s="14"/>
      <c r="X62" s="15" t="s">
        <v>13</v>
      </c>
    </row>
    <row r="63" spans="1:24" s="15" customFormat="1" ht="40.5" customHeight="1" x14ac:dyDescent="0.3">
      <c r="A63" s="14" t="s">
        <v>13</v>
      </c>
      <c r="B63" s="9" t="s">
        <v>619</v>
      </c>
      <c r="C63" s="9" t="s">
        <v>47</v>
      </c>
      <c r="D63" s="9" t="s">
        <v>620</v>
      </c>
      <c r="E63" s="9" t="s">
        <v>530</v>
      </c>
      <c r="F63" s="9" t="s">
        <v>26</v>
      </c>
      <c r="G63" s="9" t="s">
        <v>621</v>
      </c>
      <c r="H63" s="9">
        <f t="shared" si="0"/>
        <v>6</v>
      </c>
      <c r="I63" s="9" t="str">
        <f>I56</f>
        <v>đã chốt làm MAH toàn bộ, có hàng trc 4/4</v>
      </c>
      <c r="J63" s="9"/>
      <c r="K63" s="9"/>
      <c r="L63" s="9"/>
      <c r="M63" s="9"/>
      <c r="N63" s="9"/>
      <c r="O63" s="9"/>
      <c r="P63" s="9" t="s">
        <v>13</v>
      </c>
      <c r="Q63" s="14"/>
      <c r="R63" s="14"/>
      <c r="X63" s="15" t="s">
        <v>13</v>
      </c>
    </row>
    <row r="64" spans="1:24" s="15" customFormat="1" ht="40.5" customHeight="1" x14ac:dyDescent="0.3">
      <c r="A64" s="14" t="s">
        <v>13</v>
      </c>
      <c r="B64" s="9" t="s">
        <v>622</v>
      </c>
      <c r="C64" s="9" t="s">
        <v>47</v>
      </c>
      <c r="D64" s="9" t="s">
        <v>623</v>
      </c>
      <c r="E64" s="9" t="s">
        <v>530</v>
      </c>
      <c r="F64" s="9" t="s">
        <v>26</v>
      </c>
      <c r="G64" s="9" t="s">
        <v>624</v>
      </c>
      <c r="H64" s="9">
        <f t="shared" si="0"/>
        <v>6</v>
      </c>
      <c r="I64" s="9" t="str">
        <f>I63</f>
        <v>đã chốt làm MAH toàn bộ, có hàng trc 4/4</v>
      </c>
      <c r="J64" s="9"/>
      <c r="K64" s="9"/>
      <c r="L64" s="9"/>
      <c r="M64" s="9"/>
      <c r="N64" s="9"/>
      <c r="O64" s="9"/>
      <c r="P64" s="9" t="s">
        <v>13</v>
      </c>
      <c r="Q64" s="14"/>
      <c r="R64" s="14"/>
      <c r="X64" s="15" t="s">
        <v>13</v>
      </c>
    </row>
    <row r="65" spans="1:24" s="15" customFormat="1" ht="40.5" customHeight="1" x14ac:dyDescent="0.3">
      <c r="A65" s="14" t="s">
        <v>13</v>
      </c>
      <c r="B65" s="9" t="s">
        <v>625</v>
      </c>
      <c r="C65" s="9" t="s">
        <v>47</v>
      </c>
      <c r="D65" s="9" t="s">
        <v>626</v>
      </c>
      <c r="E65" s="9" t="str">
        <f>E32</f>
        <v>ct trục, SUS304 điện hóa/ S45C mạ nikel</v>
      </c>
      <c r="F65" s="9" t="str">
        <f>F32</f>
        <v>PG</v>
      </c>
      <c r="G65" s="9" t="s">
        <v>543</v>
      </c>
      <c r="H65" s="9">
        <f t="shared" si="0"/>
        <v>6</v>
      </c>
      <c r="I65" s="9" t="str">
        <f>I61</f>
        <v>Ng đã đặt NCC mới cho đủ 84CV</v>
      </c>
      <c r="J65" s="9"/>
      <c r="K65" s="9"/>
      <c r="L65" s="9"/>
      <c r="M65" s="9"/>
      <c r="N65" s="9"/>
      <c r="O65" s="9"/>
      <c r="P65" s="9" t="s">
        <v>13</v>
      </c>
      <c r="Q65" s="14"/>
      <c r="R65" s="14"/>
      <c r="X65" s="15" t="s">
        <v>13</v>
      </c>
    </row>
    <row r="66" spans="1:24" x14ac:dyDescent="0.3">
      <c r="I66" t="s">
        <v>627</v>
      </c>
    </row>
    <row r="70" spans="1:24" x14ac:dyDescent="0.3">
      <c r="F70" s="17" t="s">
        <v>25</v>
      </c>
      <c r="G70" s="18" t="str">
        <f>'Z0000002-238847 BOM trien khai'!G93</f>
        <v>đã đặt phôi, có thể làm xong trc 5/4</v>
      </c>
      <c r="H70" s="18"/>
      <c r="I70" t="s">
        <v>25</v>
      </c>
    </row>
    <row r="71" spans="1:24" x14ac:dyDescent="0.3">
      <c r="F71" s="17" t="s">
        <v>26</v>
      </c>
      <c r="G71" s="18" t="str">
        <f>'Z0000002-238847 BOM trien khai'!G94</f>
        <v>đã chốt làm MAH toàn bộ, có hàng trc 4/4</v>
      </c>
      <c r="H71" s="18"/>
      <c r="I71" t="s">
        <v>26</v>
      </c>
    </row>
    <row r="72" spans="1:24" x14ac:dyDescent="0.3">
      <c r="F72" s="17" t="s">
        <v>628</v>
      </c>
      <c r="G72" s="18"/>
      <c r="H72" s="18"/>
      <c r="I72" t="s">
        <v>27</v>
      </c>
    </row>
    <row r="73" spans="1:24" x14ac:dyDescent="0.3">
      <c r="F73" s="17" t="s">
        <v>29</v>
      </c>
      <c r="G73" s="18" t="str">
        <f>'Z0000002-238846 BOM trien k hai'!G105</f>
        <v>31/3 và 3/4 nhận đủ hàng</v>
      </c>
      <c r="H73" s="18"/>
      <c r="I73" t="s">
        <v>29</v>
      </c>
    </row>
    <row r="74" spans="1:24" x14ac:dyDescent="0.3">
      <c r="F74" s="17" t="s">
        <v>496</v>
      </c>
      <c r="G74" s="18" t="str">
        <f>I57</f>
        <v>Ng đã đặt NCC mới cho đủ 84CV</v>
      </c>
      <c r="H74" s="18"/>
      <c r="I74" t="s">
        <v>31</v>
      </c>
    </row>
    <row r="75" spans="1:24" x14ac:dyDescent="0.3">
      <c r="F75" s="18" t="str">
        <f>F41</f>
        <v>Then cài</v>
      </c>
      <c r="G75" s="18" t="str">
        <f>I11</f>
        <v>đã tồn kho sẵn</v>
      </c>
      <c r="H75" s="18"/>
      <c r="I75" t="s">
        <v>32</v>
      </c>
    </row>
    <row r="76" spans="1:24" x14ac:dyDescent="0.3">
      <c r="F76" s="17" t="s">
        <v>31</v>
      </c>
      <c r="G76" s="18" t="str">
        <f>I61</f>
        <v>Ng đã đặt NCC mới cho đủ 84CV</v>
      </c>
      <c r="H76" s="18"/>
      <c r="I76" t="s">
        <v>34</v>
      </c>
    </row>
    <row r="77" spans="1:24" x14ac:dyDescent="0.3">
      <c r="F77" s="17" t="str">
        <f>F43</f>
        <v>Bulong M4x50</v>
      </c>
      <c r="G77" s="18" t="str">
        <f>I43</f>
        <v>đã tồn kho sẵn</v>
      </c>
      <c r="H77" s="18"/>
      <c r="I77" t="s">
        <v>36</v>
      </c>
    </row>
    <row r="78" spans="1:24" x14ac:dyDescent="0.3">
      <c r="F78" s="17" t="s">
        <v>34</v>
      </c>
      <c r="G78" s="18" t="str">
        <f>'[2]Z0000002-238847 BOM trien khai'!$G$99</f>
        <v>đã báo đặt hàng</v>
      </c>
      <c r="H78" s="18"/>
      <c r="I78" t="s">
        <v>37</v>
      </c>
    </row>
    <row r="79" spans="1:24" x14ac:dyDescent="0.3">
      <c r="F79" s="17" t="s">
        <v>36</v>
      </c>
      <c r="G79" s="18" t="str">
        <f>I40</f>
        <v>đã nhận hàng 30/3</v>
      </c>
      <c r="H79" s="18"/>
      <c r="I79" t="s">
        <v>18</v>
      </c>
    </row>
    <row r="80" spans="1:24" x14ac:dyDescent="0.3">
      <c r="F80" s="17" t="s">
        <v>37</v>
      </c>
      <c r="G80" s="18" t="str">
        <f>I46</f>
        <v>hàng đã về</v>
      </c>
      <c r="H80" s="18"/>
    </row>
    <row r="81" spans="6:8" x14ac:dyDescent="0.3">
      <c r="F81" s="17" t="s">
        <v>18</v>
      </c>
      <c r="G81" s="18" t="str">
        <f>I47</f>
        <v>đã chốt đặt hàng</v>
      </c>
      <c r="H81" s="18"/>
    </row>
  </sheetData>
  <autoFilter ref="A2:K66" xr:uid="{1D042BBE-FBB6-408D-BA97-D0137A10027E}"/>
  <conditionalFormatting sqref="G76:G1048576 G1:G74">
    <cfRule type="duplicateValues" dxfId="1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ADEA8-4AAE-4FF9-82E2-F513AFFC78E2}">
  <dimension ref="A1:W89"/>
  <sheetViews>
    <sheetView workbookViewId="0">
      <selection activeCell="B22" sqref="B22"/>
    </sheetView>
  </sheetViews>
  <sheetFormatPr defaultRowHeight="14.4" x14ac:dyDescent="0.3"/>
  <cols>
    <col min="1" max="1" width="16.44140625" customWidth="1"/>
    <col min="2" max="2" width="12" customWidth="1"/>
    <col min="3" max="3" width="9.6640625" customWidth="1"/>
    <col min="4" max="4" width="39.6640625" customWidth="1"/>
    <col min="5" max="5" width="56.88671875" customWidth="1"/>
    <col min="6" max="6" width="37.109375" customWidth="1"/>
    <col min="7" max="7" width="27.44140625" customWidth="1"/>
    <col min="8" max="8" width="19.6640625" customWidth="1"/>
    <col min="9" max="9" width="28.6640625" customWidth="1"/>
    <col min="10" max="14" width="19.6640625" customWidth="1"/>
    <col min="15" max="15" width="19.44140625" customWidth="1"/>
    <col min="16" max="16" width="17.88671875" customWidth="1"/>
  </cols>
  <sheetData>
    <row r="1" spans="1:23" ht="26.4" thickBot="1" x14ac:dyDescent="0.55000000000000004">
      <c r="A1" s="12" t="s">
        <v>629</v>
      </c>
      <c r="B1" s="2"/>
      <c r="C1" s="2"/>
      <c r="D1" s="2"/>
      <c r="G1" s="4" t="s">
        <v>10</v>
      </c>
      <c r="H1" s="4">
        <v>6</v>
      </c>
      <c r="I1" s="4" t="s">
        <v>630</v>
      </c>
    </row>
    <row r="2" spans="1:23" s="7" customFormat="1" ht="16.2" thickTop="1" x14ac:dyDescent="0.3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6" t="s">
        <v>8</v>
      </c>
      <c r="G2" s="5" t="s">
        <v>9</v>
      </c>
      <c r="H2" s="6" t="s">
        <v>10</v>
      </c>
      <c r="I2" s="5" t="s">
        <v>631</v>
      </c>
      <c r="J2" s="5"/>
      <c r="K2" s="5"/>
      <c r="L2" s="5"/>
      <c r="M2" s="5"/>
      <c r="N2" s="5"/>
      <c r="O2" s="5" t="s">
        <v>12</v>
      </c>
      <c r="W2" s="7" t="s">
        <v>13</v>
      </c>
    </row>
    <row r="3" spans="1:23" s="11" customFormat="1" ht="40.5" customHeight="1" x14ac:dyDescent="0.3">
      <c r="A3" s="8" t="s">
        <v>13</v>
      </c>
      <c r="B3" s="10" t="s">
        <v>632</v>
      </c>
      <c r="C3" s="10" t="s">
        <v>15</v>
      </c>
      <c r="D3" s="10" t="s">
        <v>633</v>
      </c>
      <c r="E3" s="10" t="s">
        <v>341</v>
      </c>
      <c r="F3" s="10" t="s">
        <v>37</v>
      </c>
      <c r="G3" s="10" t="s">
        <v>140</v>
      </c>
      <c r="H3" s="10">
        <f>$H$1*C3</f>
        <v>12</v>
      </c>
      <c r="I3" s="10" t="s">
        <v>469</v>
      </c>
      <c r="J3" s="10"/>
      <c r="K3" s="10"/>
      <c r="L3" s="10"/>
      <c r="M3" s="10"/>
      <c r="N3" s="10"/>
      <c r="O3" s="10" t="s">
        <v>13</v>
      </c>
      <c r="P3" s="8"/>
      <c r="Q3" s="8"/>
      <c r="W3" s="11" t="s">
        <v>13</v>
      </c>
    </row>
    <row r="4" spans="1:23" s="11" customFormat="1" ht="40.5" customHeight="1" x14ac:dyDescent="0.3">
      <c r="A4" s="8" t="s">
        <v>13</v>
      </c>
      <c r="B4" s="10" t="s">
        <v>634</v>
      </c>
      <c r="C4" s="10" t="s">
        <v>15</v>
      </c>
      <c r="D4" s="10" t="s">
        <v>635</v>
      </c>
      <c r="E4" s="9" t="s">
        <v>636</v>
      </c>
      <c r="F4" s="9" t="s">
        <v>18</v>
      </c>
      <c r="G4" s="10" t="s">
        <v>637</v>
      </c>
      <c r="H4" s="10">
        <f t="shared" ref="H4:H67" si="0">$H$1*C4</f>
        <v>12</v>
      </c>
      <c r="I4" s="10" t="str">
        <f>'[1]Z0000002-238846 BOM trien k hai'!$I$29</f>
        <v>đã chốt đặt hàng</v>
      </c>
      <c r="J4" s="10"/>
      <c r="K4" s="10"/>
      <c r="L4" s="10"/>
      <c r="M4" s="10"/>
      <c r="N4" s="10"/>
      <c r="O4" s="10" t="s">
        <v>13</v>
      </c>
      <c r="P4" s="8"/>
      <c r="Q4" s="8"/>
      <c r="W4" s="11" t="s">
        <v>13</v>
      </c>
    </row>
    <row r="5" spans="1:23" s="11" customFormat="1" ht="40.5" customHeight="1" x14ac:dyDescent="0.3">
      <c r="A5" s="8" t="s">
        <v>13</v>
      </c>
      <c r="B5" s="10" t="s">
        <v>638</v>
      </c>
      <c r="C5" s="10" t="s">
        <v>15</v>
      </c>
      <c r="D5" s="9" t="s">
        <v>639</v>
      </c>
      <c r="E5" s="9" t="s">
        <v>75</v>
      </c>
      <c r="F5" s="9" t="s">
        <v>640</v>
      </c>
      <c r="G5" s="10" t="s">
        <v>76</v>
      </c>
      <c r="H5" s="10">
        <f t="shared" si="0"/>
        <v>12</v>
      </c>
      <c r="I5" s="10" t="s">
        <v>33</v>
      </c>
      <c r="J5" s="10"/>
      <c r="K5" s="10"/>
      <c r="L5" s="10"/>
      <c r="M5" s="10"/>
      <c r="N5" s="10"/>
      <c r="O5" s="10" t="s">
        <v>13</v>
      </c>
      <c r="P5" s="8"/>
      <c r="Q5" s="8"/>
      <c r="W5" s="11" t="s">
        <v>13</v>
      </c>
    </row>
    <row r="6" spans="1:23" s="11" customFormat="1" ht="40.5" customHeight="1" x14ac:dyDescent="0.3">
      <c r="A6" s="8" t="s">
        <v>13</v>
      </c>
      <c r="B6" s="10" t="s">
        <v>641</v>
      </c>
      <c r="C6" s="10" t="s">
        <v>47</v>
      </c>
      <c r="D6" s="10" t="s">
        <v>642</v>
      </c>
      <c r="E6" s="10" t="str">
        <f>E30</f>
        <v>AL6061, anode màu đen</v>
      </c>
      <c r="F6" s="10" t="str">
        <f>F30</f>
        <v>GTAM</v>
      </c>
      <c r="G6" s="10" t="s">
        <v>643</v>
      </c>
      <c r="H6" s="10">
        <f t="shared" si="0"/>
        <v>6</v>
      </c>
      <c r="I6" s="10"/>
      <c r="J6" s="10"/>
      <c r="K6" s="10"/>
      <c r="L6" s="10"/>
      <c r="M6" s="10"/>
      <c r="N6" s="10"/>
      <c r="O6" s="10" t="s">
        <v>13</v>
      </c>
      <c r="P6" s="8"/>
      <c r="Q6" s="8"/>
      <c r="W6" s="11" t="s">
        <v>13</v>
      </c>
    </row>
    <row r="7" spans="1:23" s="11" customFormat="1" ht="40.5" customHeight="1" x14ac:dyDescent="0.3">
      <c r="A7" s="8" t="s">
        <v>13</v>
      </c>
      <c r="B7" s="10" t="s">
        <v>644</v>
      </c>
      <c r="C7" s="10" t="s">
        <v>15</v>
      </c>
      <c r="D7" s="10" t="s">
        <v>645</v>
      </c>
      <c r="E7" s="10" t="str">
        <f>E30</f>
        <v>AL6061, anode màu đen</v>
      </c>
      <c r="F7" s="10" t="str">
        <f>F30</f>
        <v>GTAM</v>
      </c>
      <c r="G7" s="10" t="s">
        <v>646</v>
      </c>
      <c r="H7" s="10">
        <f t="shared" si="0"/>
        <v>12</v>
      </c>
      <c r="I7" s="10"/>
      <c r="J7" s="10"/>
      <c r="K7" s="10"/>
      <c r="L7" s="10"/>
      <c r="M7" s="10"/>
      <c r="N7" s="10"/>
      <c r="O7" s="10" t="s">
        <v>13</v>
      </c>
      <c r="P7" s="8"/>
      <c r="Q7" s="8"/>
      <c r="W7" s="11" t="s">
        <v>13</v>
      </c>
    </row>
    <row r="8" spans="1:23" s="11" customFormat="1" ht="40.5" customHeight="1" x14ac:dyDescent="0.3">
      <c r="A8" s="8" t="s">
        <v>13</v>
      </c>
      <c r="B8" s="10" t="s">
        <v>647</v>
      </c>
      <c r="C8" s="10" t="s">
        <v>21</v>
      </c>
      <c r="D8" s="10" t="s">
        <v>648</v>
      </c>
      <c r="E8" s="10" t="str">
        <f>E30</f>
        <v>AL6061, anode màu đen</v>
      </c>
      <c r="F8" s="10" t="str">
        <f>F30</f>
        <v>GTAM</v>
      </c>
      <c r="G8" s="10" t="s">
        <v>649</v>
      </c>
      <c r="H8" s="10">
        <f t="shared" si="0"/>
        <v>24</v>
      </c>
      <c r="I8" s="10"/>
      <c r="J8" s="10"/>
      <c r="K8" s="10"/>
      <c r="L8" s="10"/>
      <c r="M8" s="10"/>
      <c r="N8" s="10"/>
      <c r="O8" s="10" t="s">
        <v>13</v>
      </c>
      <c r="P8" s="8"/>
      <c r="Q8" s="8"/>
      <c r="W8" s="11" t="s">
        <v>13</v>
      </c>
    </row>
    <row r="9" spans="1:23" s="11" customFormat="1" ht="40.5" customHeight="1" x14ac:dyDescent="0.3">
      <c r="A9" s="8" t="s">
        <v>13</v>
      </c>
      <c r="B9" s="10" t="s">
        <v>650</v>
      </c>
      <c r="C9" s="10" t="s">
        <v>21</v>
      </c>
      <c r="D9" s="10" t="s">
        <v>651</v>
      </c>
      <c r="E9" s="10" t="str">
        <f>E30</f>
        <v>AL6061, anode màu đen</v>
      </c>
      <c r="F9" s="10" t="str">
        <f>F30</f>
        <v>GTAM</v>
      </c>
      <c r="G9" s="10" t="s">
        <v>652</v>
      </c>
      <c r="H9" s="10">
        <f t="shared" si="0"/>
        <v>24</v>
      </c>
      <c r="I9" s="10"/>
      <c r="J9" s="10"/>
      <c r="K9" s="10"/>
      <c r="L9" s="10"/>
      <c r="M9" s="10"/>
      <c r="N9" s="10"/>
      <c r="O9" s="10" t="s">
        <v>13</v>
      </c>
      <c r="P9" s="8"/>
      <c r="Q9" s="8"/>
      <c r="W9" s="11" t="s">
        <v>13</v>
      </c>
    </row>
    <row r="10" spans="1:23" s="11" customFormat="1" ht="40.5" customHeight="1" x14ac:dyDescent="0.3">
      <c r="A10" s="8" t="s">
        <v>13</v>
      </c>
      <c r="B10" s="10" t="s">
        <v>653</v>
      </c>
      <c r="C10" s="10" t="s">
        <v>47</v>
      </c>
      <c r="D10" s="10" t="s">
        <v>654</v>
      </c>
      <c r="E10" s="10" t="str">
        <f>E30</f>
        <v>AL6061, anode màu đen</v>
      </c>
      <c r="F10" s="10" t="str">
        <f>F30</f>
        <v>GTAM</v>
      </c>
      <c r="G10" s="10" t="s">
        <v>655</v>
      </c>
      <c r="H10" s="10">
        <f t="shared" si="0"/>
        <v>6</v>
      </c>
      <c r="I10" s="10"/>
      <c r="J10" s="10"/>
      <c r="K10" s="10"/>
      <c r="L10" s="10"/>
      <c r="M10" s="10"/>
      <c r="N10" s="10"/>
      <c r="O10" s="10" t="s">
        <v>13</v>
      </c>
      <c r="P10" s="8"/>
      <c r="Q10" s="8"/>
      <c r="W10" s="11" t="s">
        <v>13</v>
      </c>
    </row>
    <row r="11" spans="1:23" s="11" customFormat="1" ht="40.5" customHeight="1" x14ac:dyDescent="0.3">
      <c r="A11" s="8" t="s">
        <v>13</v>
      </c>
      <c r="B11" s="10" t="s">
        <v>656</v>
      </c>
      <c r="C11" s="10" t="s">
        <v>15</v>
      </c>
      <c r="D11" s="10" t="s">
        <v>657</v>
      </c>
      <c r="E11" s="10" t="str">
        <f>E30</f>
        <v>AL6061, anode màu đen</v>
      </c>
      <c r="F11" s="10" t="str">
        <f>F30</f>
        <v>GTAM</v>
      </c>
      <c r="G11" s="10" t="s">
        <v>658</v>
      </c>
      <c r="H11" s="10">
        <f t="shared" si="0"/>
        <v>12</v>
      </c>
      <c r="I11" s="10"/>
      <c r="J11" s="10"/>
      <c r="K11" s="10"/>
      <c r="L11" s="10"/>
      <c r="M11" s="10"/>
      <c r="N11" s="10"/>
      <c r="O11" s="10" t="s">
        <v>13</v>
      </c>
      <c r="P11" s="8"/>
      <c r="Q11" s="8"/>
      <c r="W11" s="11" t="s">
        <v>13</v>
      </c>
    </row>
    <row r="12" spans="1:23" s="11" customFormat="1" ht="40.5" customHeight="1" x14ac:dyDescent="0.3">
      <c r="A12" s="8" t="s">
        <v>13</v>
      </c>
      <c r="B12" s="10" t="s">
        <v>659</v>
      </c>
      <c r="C12" s="10" t="s">
        <v>15</v>
      </c>
      <c r="D12" s="10" t="s">
        <v>660</v>
      </c>
      <c r="E12" s="9" t="s">
        <v>661</v>
      </c>
      <c r="F12" s="9" t="s">
        <v>31</v>
      </c>
      <c r="G12" s="10" t="s">
        <v>56</v>
      </c>
      <c r="H12" s="10">
        <f t="shared" si="0"/>
        <v>12</v>
      </c>
      <c r="I12" s="10"/>
      <c r="J12" s="10"/>
      <c r="K12" s="10"/>
      <c r="L12" s="10"/>
      <c r="M12" s="10"/>
      <c r="N12" s="10"/>
      <c r="O12" s="10" t="s">
        <v>13</v>
      </c>
      <c r="P12" s="8"/>
      <c r="Q12" s="8"/>
      <c r="W12" s="11" t="s">
        <v>13</v>
      </c>
    </row>
    <row r="13" spans="1:23" s="11" customFormat="1" ht="40.5" customHeight="1" x14ac:dyDescent="0.3">
      <c r="A13" s="8" t="s">
        <v>13</v>
      </c>
      <c r="B13" s="10" t="s">
        <v>662</v>
      </c>
      <c r="C13" s="10" t="s">
        <v>15</v>
      </c>
      <c r="D13" s="10" t="s">
        <v>663</v>
      </c>
      <c r="E13" s="9" t="s">
        <v>664</v>
      </c>
      <c r="F13" s="10" t="str">
        <f>F12</f>
        <v>PG</v>
      </c>
      <c r="G13" s="10" t="s">
        <v>56</v>
      </c>
      <c r="H13" s="10">
        <f t="shared" si="0"/>
        <v>12</v>
      </c>
      <c r="I13" s="10"/>
      <c r="J13" s="10"/>
      <c r="K13" s="10"/>
      <c r="L13" s="10"/>
      <c r="M13" s="10"/>
      <c r="N13" s="10"/>
      <c r="O13" s="10" t="s">
        <v>13</v>
      </c>
      <c r="P13" s="8"/>
      <c r="Q13" s="8"/>
      <c r="W13" s="11" t="s">
        <v>13</v>
      </c>
    </row>
    <row r="14" spans="1:23" s="11" customFormat="1" ht="40.5" customHeight="1" x14ac:dyDescent="0.3">
      <c r="A14" s="8" t="s">
        <v>13</v>
      </c>
      <c r="B14" s="10" t="s">
        <v>665</v>
      </c>
      <c r="C14" s="10" t="s">
        <v>47</v>
      </c>
      <c r="D14" s="10" t="s">
        <v>666</v>
      </c>
      <c r="E14" s="9" t="s">
        <v>334</v>
      </c>
      <c r="F14" s="9" t="s">
        <v>31</v>
      </c>
      <c r="G14" s="10" t="s">
        <v>667</v>
      </c>
      <c r="H14" s="10">
        <f t="shared" si="0"/>
        <v>6</v>
      </c>
      <c r="I14" s="10"/>
      <c r="J14" s="10"/>
      <c r="K14" s="10"/>
      <c r="L14" s="10"/>
      <c r="M14" s="10"/>
      <c r="N14" s="10"/>
      <c r="O14" s="10" t="s">
        <v>13</v>
      </c>
      <c r="P14" s="8"/>
      <c r="Q14" s="8"/>
      <c r="W14" s="11" t="s">
        <v>13</v>
      </c>
    </row>
    <row r="15" spans="1:23" s="11" customFormat="1" ht="40.5" customHeight="1" x14ac:dyDescent="0.3">
      <c r="A15" s="8" t="s">
        <v>13</v>
      </c>
      <c r="B15" s="10" t="s">
        <v>668</v>
      </c>
      <c r="C15" s="10" t="s">
        <v>47</v>
      </c>
      <c r="D15" s="10" t="s">
        <v>669</v>
      </c>
      <c r="E15" s="10" t="str">
        <f>E30</f>
        <v>AL6061, anode màu đen</v>
      </c>
      <c r="F15" s="10" t="str">
        <f>F30</f>
        <v>GTAM</v>
      </c>
      <c r="G15" s="10" t="s">
        <v>670</v>
      </c>
      <c r="H15" s="10">
        <f t="shared" si="0"/>
        <v>6</v>
      </c>
      <c r="I15" s="10"/>
      <c r="J15" s="10"/>
      <c r="K15" s="10"/>
      <c r="L15" s="10"/>
      <c r="M15" s="10"/>
      <c r="N15" s="10"/>
      <c r="O15" s="10" t="s">
        <v>13</v>
      </c>
      <c r="P15" s="8"/>
      <c r="Q15" s="8"/>
      <c r="W15" s="11" t="s">
        <v>13</v>
      </c>
    </row>
    <row r="16" spans="1:23" s="11" customFormat="1" ht="40.5" customHeight="1" x14ac:dyDescent="0.3">
      <c r="A16" s="8" t="s">
        <v>13</v>
      </c>
      <c r="B16" s="10" t="s">
        <v>671</v>
      </c>
      <c r="C16" s="10" t="s">
        <v>15</v>
      </c>
      <c r="D16" s="10" t="s">
        <v>672</v>
      </c>
      <c r="E16" s="9" t="s">
        <v>673</v>
      </c>
      <c r="F16" s="9" t="s">
        <v>674</v>
      </c>
      <c r="G16" s="10" t="s">
        <v>675</v>
      </c>
      <c r="H16" s="10">
        <f t="shared" si="0"/>
        <v>12</v>
      </c>
      <c r="I16" s="10" t="s">
        <v>816</v>
      </c>
      <c r="J16" s="10"/>
      <c r="K16" s="10"/>
      <c r="L16" s="10"/>
      <c r="M16" s="10"/>
      <c r="N16" s="10"/>
      <c r="O16" s="10" t="s">
        <v>13</v>
      </c>
      <c r="P16" s="8"/>
      <c r="Q16" s="8"/>
      <c r="W16" s="11" t="s">
        <v>13</v>
      </c>
    </row>
    <row r="17" spans="1:23" s="11" customFormat="1" ht="40.5" customHeight="1" x14ac:dyDescent="0.3">
      <c r="A17" s="8" t="s">
        <v>13</v>
      </c>
      <c r="B17" s="10" t="s">
        <v>676</v>
      </c>
      <c r="C17" s="10" t="s">
        <v>47</v>
      </c>
      <c r="D17" s="10" t="s">
        <v>677</v>
      </c>
      <c r="E17" s="9" t="s">
        <v>286</v>
      </c>
      <c r="F17" s="9" t="s">
        <v>26</v>
      </c>
      <c r="G17" s="10" t="s">
        <v>678</v>
      </c>
      <c r="H17" s="10">
        <f t="shared" si="0"/>
        <v>6</v>
      </c>
      <c r="I17" s="10"/>
      <c r="J17" s="10"/>
      <c r="K17" s="10"/>
      <c r="L17" s="10"/>
      <c r="M17" s="10"/>
      <c r="N17" s="10"/>
      <c r="O17" s="10" t="s">
        <v>13</v>
      </c>
      <c r="P17" s="8"/>
      <c r="Q17" s="8"/>
      <c r="W17" s="11" t="s">
        <v>13</v>
      </c>
    </row>
    <row r="18" spans="1:23" s="11" customFormat="1" ht="40.5" customHeight="1" x14ac:dyDescent="0.3">
      <c r="A18" s="8" t="s">
        <v>13</v>
      </c>
      <c r="B18" s="10" t="s">
        <v>679</v>
      </c>
      <c r="C18" s="10" t="s">
        <v>47</v>
      </c>
      <c r="D18" s="10" t="s">
        <v>680</v>
      </c>
      <c r="E18" s="9" t="s">
        <v>286</v>
      </c>
      <c r="F18" s="9" t="s">
        <v>26</v>
      </c>
      <c r="G18" s="10" t="s">
        <v>681</v>
      </c>
      <c r="H18" s="10">
        <f t="shared" si="0"/>
        <v>6</v>
      </c>
      <c r="I18" s="10"/>
      <c r="J18" s="10"/>
      <c r="K18" s="10"/>
      <c r="L18" s="10"/>
      <c r="M18" s="10"/>
      <c r="N18" s="10"/>
      <c r="O18" s="10" t="s">
        <v>13</v>
      </c>
      <c r="P18" s="8"/>
      <c r="Q18" s="8"/>
      <c r="W18" s="11" t="s">
        <v>13</v>
      </c>
    </row>
    <row r="19" spans="1:23" s="11" customFormat="1" ht="40.5" customHeight="1" x14ac:dyDescent="0.3">
      <c r="A19" s="8" t="s">
        <v>13</v>
      </c>
      <c r="B19" s="10" t="s">
        <v>682</v>
      </c>
      <c r="C19" s="10" t="s">
        <v>47</v>
      </c>
      <c r="D19" s="10" t="s">
        <v>683</v>
      </c>
      <c r="E19" s="9" t="s">
        <v>286</v>
      </c>
      <c r="F19" s="9" t="s">
        <v>26</v>
      </c>
      <c r="G19" s="10" t="s">
        <v>684</v>
      </c>
      <c r="H19" s="10">
        <f t="shared" si="0"/>
        <v>6</v>
      </c>
      <c r="I19" s="10"/>
      <c r="J19" s="10"/>
      <c r="K19" s="10"/>
      <c r="L19" s="10"/>
      <c r="M19" s="10"/>
      <c r="N19" s="10"/>
      <c r="O19" s="10" t="s">
        <v>13</v>
      </c>
      <c r="P19" s="8"/>
      <c r="Q19" s="8"/>
      <c r="W19" s="11" t="s">
        <v>13</v>
      </c>
    </row>
    <row r="20" spans="1:23" s="11" customFormat="1" ht="40.5" customHeight="1" x14ac:dyDescent="0.3">
      <c r="A20" s="8" t="s">
        <v>13</v>
      </c>
      <c r="B20" s="10" t="s">
        <v>685</v>
      </c>
      <c r="C20" s="10" t="s">
        <v>47</v>
      </c>
      <c r="D20" s="10" t="s">
        <v>686</v>
      </c>
      <c r="E20" s="9" t="s">
        <v>286</v>
      </c>
      <c r="F20" s="9" t="s">
        <v>26</v>
      </c>
      <c r="G20" s="10" t="s">
        <v>687</v>
      </c>
      <c r="H20" s="10">
        <f t="shared" si="0"/>
        <v>6</v>
      </c>
      <c r="I20" s="10"/>
      <c r="J20" s="10"/>
      <c r="K20" s="10"/>
      <c r="L20" s="10"/>
      <c r="M20" s="10"/>
      <c r="N20" s="10"/>
      <c r="O20" s="10" t="s">
        <v>13</v>
      </c>
      <c r="P20" s="8"/>
      <c r="Q20" s="8"/>
      <c r="W20" s="11" t="s">
        <v>13</v>
      </c>
    </row>
    <row r="21" spans="1:23" s="11" customFormat="1" ht="40.5" customHeight="1" x14ac:dyDescent="0.3">
      <c r="A21" s="8" t="s">
        <v>13</v>
      </c>
      <c r="B21" s="10" t="s">
        <v>688</v>
      </c>
      <c r="C21" s="10" t="s">
        <v>15</v>
      </c>
      <c r="D21" s="10" t="s">
        <v>689</v>
      </c>
      <c r="E21" s="9" t="s">
        <v>286</v>
      </c>
      <c r="F21" s="9" t="s">
        <v>26</v>
      </c>
      <c r="G21" s="10" t="s">
        <v>690</v>
      </c>
      <c r="H21" s="10">
        <f t="shared" si="0"/>
        <v>12</v>
      </c>
      <c r="I21" s="10"/>
      <c r="J21" s="10"/>
      <c r="K21" s="10"/>
      <c r="L21" s="10"/>
      <c r="M21" s="10"/>
      <c r="N21" s="10"/>
      <c r="O21" s="10" t="s">
        <v>13</v>
      </c>
      <c r="P21" s="8"/>
      <c r="Q21" s="8"/>
      <c r="W21" s="11" t="s">
        <v>13</v>
      </c>
    </row>
    <row r="22" spans="1:23" s="11" customFormat="1" ht="40.5" customHeight="1" x14ac:dyDescent="0.3">
      <c r="A22" s="8" t="s">
        <v>13</v>
      </c>
      <c r="B22" s="10" t="s">
        <v>691</v>
      </c>
      <c r="C22" s="10" t="s">
        <v>47</v>
      </c>
      <c r="D22" s="10" t="s">
        <v>692</v>
      </c>
      <c r="E22" s="10" t="s">
        <v>286</v>
      </c>
      <c r="F22" s="10" t="s">
        <v>26</v>
      </c>
      <c r="G22" s="10" t="s">
        <v>693</v>
      </c>
      <c r="H22" s="10">
        <f t="shared" si="0"/>
        <v>6</v>
      </c>
      <c r="I22" s="10"/>
      <c r="J22" s="10"/>
      <c r="K22" s="10"/>
      <c r="L22" s="10"/>
      <c r="M22" s="10"/>
      <c r="N22" s="10"/>
      <c r="O22" s="10" t="s">
        <v>13</v>
      </c>
      <c r="P22" s="8"/>
      <c r="Q22" s="8"/>
      <c r="W22" s="11" t="s">
        <v>13</v>
      </c>
    </row>
    <row r="23" spans="1:23" s="11" customFormat="1" ht="40.5" customHeight="1" x14ac:dyDescent="0.3">
      <c r="A23" s="8" t="s">
        <v>13</v>
      </c>
      <c r="B23" s="10" t="s">
        <v>694</v>
      </c>
      <c r="C23" s="10" t="s">
        <v>15</v>
      </c>
      <c r="D23" s="10" t="s">
        <v>695</v>
      </c>
      <c r="E23" s="9" t="s">
        <v>286</v>
      </c>
      <c r="F23" s="9" t="s">
        <v>496</v>
      </c>
      <c r="G23" s="10" t="s">
        <v>696</v>
      </c>
      <c r="H23" s="10">
        <f t="shared" si="0"/>
        <v>12</v>
      </c>
      <c r="I23" s="10" t="str">
        <f>'Z0000002-238848 BOM trien k hai'!I17</f>
        <v>Ng đã đặt NCC mới cho đủ 84CV</v>
      </c>
      <c r="J23" s="10"/>
      <c r="K23" s="10"/>
      <c r="L23" s="10"/>
      <c r="M23" s="10"/>
      <c r="N23" s="10"/>
      <c r="O23" s="10" t="s">
        <v>13</v>
      </c>
      <c r="P23" s="8"/>
      <c r="Q23" s="8"/>
      <c r="W23" s="11" t="s">
        <v>13</v>
      </c>
    </row>
    <row r="24" spans="1:23" s="11" customFormat="1" ht="40.5" customHeight="1" x14ac:dyDescent="0.3">
      <c r="A24" s="8" t="s">
        <v>13</v>
      </c>
      <c r="B24" s="10" t="s">
        <v>697</v>
      </c>
      <c r="C24" s="10" t="s">
        <v>47</v>
      </c>
      <c r="D24" s="10" t="s">
        <v>698</v>
      </c>
      <c r="E24" s="10" t="str">
        <f>E30</f>
        <v>AL6061, anode màu đen</v>
      </c>
      <c r="F24" s="10" t="str">
        <f>F30</f>
        <v>GTAM</v>
      </c>
      <c r="G24" s="10" t="s">
        <v>699</v>
      </c>
      <c r="H24" s="10">
        <f t="shared" si="0"/>
        <v>6</v>
      </c>
      <c r="I24" s="10"/>
      <c r="J24" s="10"/>
      <c r="K24" s="10"/>
      <c r="L24" s="10"/>
      <c r="M24" s="10"/>
      <c r="N24" s="10"/>
      <c r="O24" s="10" t="s">
        <v>13</v>
      </c>
      <c r="P24" s="8"/>
      <c r="Q24" s="8"/>
      <c r="W24" s="11" t="s">
        <v>13</v>
      </c>
    </row>
    <row r="25" spans="1:23" s="11" customFormat="1" ht="40.5" customHeight="1" x14ac:dyDescent="0.3">
      <c r="A25" s="8" t="s">
        <v>13</v>
      </c>
      <c r="B25" s="10" t="s">
        <v>700</v>
      </c>
      <c r="C25" s="10" t="s">
        <v>47</v>
      </c>
      <c r="D25" s="10" t="s">
        <v>701</v>
      </c>
      <c r="E25" s="10" t="str">
        <f>E30</f>
        <v>AL6061, anode màu đen</v>
      </c>
      <c r="F25" s="10" t="str">
        <f>F30</f>
        <v>GTAM</v>
      </c>
      <c r="G25" s="10" t="s">
        <v>702</v>
      </c>
      <c r="H25" s="10">
        <f t="shared" si="0"/>
        <v>6</v>
      </c>
      <c r="I25" s="10"/>
      <c r="J25" s="10"/>
      <c r="K25" s="10"/>
      <c r="L25" s="10"/>
      <c r="M25" s="10"/>
      <c r="N25" s="10"/>
      <c r="O25" s="10" t="s">
        <v>13</v>
      </c>
      <c r="P25" s="8"/>
      <c r="Q25" s="8"/>
      <c r="W25" s="11" t="s">
        <v>13</v>
      </c>
    </row>
    <row r="26" spans="1:23" s="11" customFormat="1" ht="40.5" customHeight="1" x14ac:dyDescent="0.3">
      <c r="A26" s="8" t="s">
        <v>13</v>
      </c>
      <c r="B26" s="10" t="s">
        <v>703</v>
      </c>
      <c r="C26" s="10" t="s">
        <v>47</v>
      </c>
      <c r="D26" s="10" t="s">
        <v>704</v>
      </c>
      <c r="E26" s="10" t="str">
        <f>E30</f>
        <v>AL6061, anode màu đen</v>
      </c>
      <c r="F26" s="10" t="str">
        <f>F30</f>
        <v>GTAM</v>
      </c>
      <c r="G26" s="10" t="s">
        <v>705</v>
      </c>
      <c r="H26" s="10">
        <f t="shared" si="0"/>
        <v>6</v>
      </c>
      <c r="I26" s="10"/>
      <c r="J26" s="10"/>
      <c r="K26" s="10"/>
      <c r="L26" s="10"/>
      <c r="M26" s="10"/>
      <c r="N26" s="10"/>
      <c r="O26" s="10" t="s">
        <v>13</v>
      </c>
      <c r="P26" s="8"/>
      <c r="Q26" s="8"/>
      <c r="W26" s="11" t="s">
        <v>13</v>
      </c>
    </row>
    <row r="27" spans="1:23" s="11" customFormat="1" ht="40.5" customHeight="1" x14ac:dyDescent="0.3">
      <c r="A27" s="8" t="s">
        <v>13</v>
      </c>
      <c r="B27" s="10" t="s">
        <v>706</v>
      </c>
      <c r="C27" s="10" t="s">
        <v>15</v>
      </c>
      <c r="D27" s="10" t="s">
        <v>707</v>
      </c>
      <c r="E27" s="10" t="str">
        <f>E30</f>
        <v>AL6061, anode màu đen</v>
      </c>
      <c r="F27" s="10" t="str">
        <f>F30</f>
        <v>GTAM</v>
      </c>
      <c r="G27" s="10" t="s">
        <v>708</v>
      </c>
      <c r="H27" s="10">
        <f t="shared" si="0"/>
        <v>12</v>
      </c>
      <c r="I27" s="10"/>
      <c r="J27" s="10"/>
      <c r="K27" s="10"/>
      <c r="L27" s="10"/>
      <c r="M27" s="10"/>
      <c r="N27" s="10"/>
      <c r="O27" s="10" t="s">
        <v>13</v>
      </c>
      <c r="P27" s="8"/>
      <c r="Q27" s="8"/>
      <c r="W27" s="11" t="s">
        <v>13</v>
      </c>
    </row>
    <row r="28" spans="1:23" s="11" customFormat="1" ht="40.5" customHeight="1" x14ac:dyDescent="0.3">
      <c r="A28" s="8" t="s">
        <v>13</v>
      </c>
      <c r="B28" s="10" t="s">
        <v>709</v>
      </c>
      <c r="C28" s="10" t="s">
        <v>21</v>
      </c>
      <c r="D28" s="9" t="s">
        <v>710</v>
      </c>
      <c r="E28" s="9" t="s">
        <v>711</v>
      </c>
      <c r="F28" s="9" t="s">
        <v>37</v>
      </c>
      <c r="G28" s="10" t="s">
        <v>60</v>
      </c>
      <c r="H28" s="10">
        <f t="shared" si="0"/>
        <v>24</v>
      </c>
      <c r="I28" s="10"/>
      <c r="J28" s="10"/>
      <c r="K28" s="10"/>
      <c r="L28" s="10"/>
      <c r="M28" s="10"/>
      <c r="N28" s="10"/>
      <c r="O28" s="10" t="s">
        <v>13</v>
      </c>
      <c r="P28" s="8"/>
      <c r="Q28" s="8"/>
      <c r="W28" s="11" t="s">
        <v>13</v>
      </c>
    </row>
    <row r="29" spans="1:23" s="11" customFormat="1" ht="40.5" customHeight="1" x14ac:dyDescent="0.3">
      <c r="A29" s="8" t="s">
        <v>13</v>
      </c>
      <c r="B29" s="10" t="s">
        <v>712</v>
      </c>
      <c r="C29" s="10" t="s">
        <v>15</v>
      </c>
      <c r="D29" s="10" t="s">
        <v>713</v>
      </c>
      <c r="E29" s="9" t="s">
        <v>41</v>
      </c>
      <c r="F29" s="10" t="str">
        <f>F30</f>
        <v>GTAM</v>
      </c>
      <c r="G29" s="10" t="s">
        <v>714</v>
      </c>
      <c r="H29" s="10">
        <f t="shared" si="0"/>
        <v>12</v>
      </c>
      <c r="I29" s="10"/>
      <c r="J29" s="10"/>
      <c r="K29" s="10"/>
      <c r="L29" s="10"/>
      <c r="M29" s="10"/>
      <c r="N29" s="10"/>
      <c r="O29" s="10" t="s">
        <v>13</v>
      </c>
      <c r="P29" s="8"/>
      <c r="Q29" s="8"/>
      <c r="W29" s="11" t="s">
        <v>13</v>
      </c>
    </row>
    <row r="30" spans="1:23" s="11" customFormat="1" ht="40.5" customHeight="1" x14ac:dyDescent="0.3">
      <c r="A30" s="8" t="s">
        <v>13</v>
      </c>
      <c r="B30" s="10" t="s">
        <v>715</v>
      </c>
      <c r="C30" s="10" t="s">
        <v>15</v>
      </c>
      <c r="D30" s="10" t="s">
        <v>716</v>
      </c>
      <c r="E30" s="9" t="s">
        <v>41</v>
      </c>
      <c r="F30" s="9" t="s">
        <v>25</v>
      </c>
      <c r="G30" s="10" t="s">
        <v>136</v>
      </c>
      <c r="H30" s="10">
        <f t="shared" si="0"/>
        <v>12</v>
      </c>
      <c r="I30" s="10"/>
      <c r="J30" s="10"/>
      <c r="K30" s="10"/>
      <c r="L30" s="10"/>
      <c r="M30" s="10"/>
      <c r="N30" s="10"/>
      <c r="O30" s="10" t="s">
        <v>13</v>
      </c>
      <c r="P30" s="8"/>
      <c r="Q30" s="8"/>
      <c r="W30" s="11" t="s">
        <v>13</v>
      </c>
    </row>
    <row r="31" spans="1:23" s="11" customFormat="1" ht="40.5" customHeight="1" x14ac:dyDescent="0.3">
      <c r="A31" s="8" t="s">
        <v>13</v>
      </c>
      <c r="B31" s="10" t="s">
        <v>717</v>
      </c>
      <c r="C31" s="10" t="s">
        <v>47</v>
      </c>
      <c r="D31" s="10" t="s">
        <v>718</v>
      </c>
      <c r="E31" s="10" t="str">
        <f>E30</f>
        <v>AL6061, anode màu đen</v>
      </c>
      <c r="F31" s="10" t="str">
        <f>F30</f>
        <v>GTAM</v>
      </c>
      <c r="G31" s="10" t="s">
        <v>719</v>
      </c>
      <c r="H31" s="10">
        <f t="shared" si="0"/>
        <v>6</v>
      </c>
      <c r="I31" s="10"/>
      <c r="J31" s="10"/>
      <c r="K31" s="10"/>
      <c r="L31" s="10"/>
      <c r="M31" s="10"/>
      <c r="N31" s="10"/>
      <c r="O31" s="10" t="s">
        <v>13</v>
      </c>
      <c r="P31" s="8"/>
      <c r="Q31" s="8"/>
      <c r="W31" s="11" t="s">
        <v>13</v>
      </c>
    </row>
    <row r="32" spans="1:23" s="11" customFormat="1" ht="40.5" customHeight="1" x14ac:dyDescent="0.3">
      <c r="A32" s="8" t="s">
        <v>13</v>
      </c>
      <c r="B32" s="10" t="s">
        <v>720</v>
      </c>
      <c r="C32" s="10" t="s">
        <v>15</v>
      </c>
      <c r="D32" s="10" t="s">
        <v>721</v>
      </c>
      <c r="E32" s="10" t="str">
        <f>E30</f>
        <v>AL6061, anode màu đen</v>
      </c>
      <c r="F32" s="10" t="str">
        <f>F30</f>
        <v>GTAM</v>
      </c>
      <c r="G32" s="10" t="s">
        <v>722</v>
      </c>
      <c r="H32" s="10">
        <f t="shared" si="0"/>
        <v>12</v>
      </c>
      <c r="I32" s="10"/>
      <c r="J32" s="10"/>
      <c r="K32" s="10"/>
      <c r="L32" s="10"/>
      <c r="M32" s="10"/>
      <c r="N32" s="10"/>
      <c r="O32" s="10" t="s">
        <v>13</v>
      </c>
      <c r="P32" s="8"/>
      <c r="Q32" s="8"/>
      <c r="W32" s="11" t="s">
        <v>13</v>
      </c>
    </row>
    <row r="33" spans="1:23" s="11" customFormat="1" ht="40.5" customHeight="1" x14ac:dyDescent="0.3">
      <c r="A33" s="8" t="s">
        <v>13</v>
      </c>
      <c r="B33" s="10" t="s">
        <v>723</v>
      </c>
      <c r="C33" s="10" t="s">
        <v>47</v>
      </c>
      <c r="D33" s="10" t="s">
        <v>724</v>
      </c>
      <c r="E33" s="10" t="s">
        <v>275</v>
      </c>
      <c r="F33" s="10" t="s">
        <v>34</v>
      </c>
      <c r="G33" s="10" t="s">
        <v>64</v>
      </c>
      <c r="H33" s="10">
        <f t="shared" si="0"/>
        <v>6</v>
      </c>
      <c r="I33" s="10"/>
      <c r="J33" s="10"/>
      <c r="K33" s="10"/>
      <c r="L33" s="10"/>
      <c r="M33" s="10"/>
      <c r="N33" s="10"/>
      <c r="O33" s="10" t="s">
        <v>13</v>
      </c>
      <c r="P33" s="8"/>
      <c r="Q33" s="8"/>
      <c r="W33" s="11" t="s">
        <v>13</v>
      </c>
    </row>
    <row r="34" spans="1:23" s="11" customFormat="1" ht="40.5" customHeight="1" x14ac:dyDescent="0.3">
      <c r="A34" s="8" t="s">
        <v>13</v>
      </c>
      <c r="B34" s="10" t="s">
        <v>725</v>
      </c>
      <c r="C34" s="10" t="s">
        <v>47</v>
      </c>
      <c r="D34" s="10" t="s">
        <v>726</v>
      </c>
      <c r="E34" s="10" t="s">
        <v>278</v>
      </c>
      <c r="F34" s="10" t="s">
        <v>34</v>
      </c>
      <c r="G34" s="10" t="s">
        <v>68</v>
      </c>
      <c r="H34" s="10">
        <f t="shared" si="0"/>
        <v>6</v>
      </c>
      <c r="I34" s="10"/>
      <c r="J34" s="10"/>
      <c r="K34" s="10"/>
      <c r="L34" s="10"/>
      <c r="M34" s="10"/>
      <c r="N34" s="10"/>
      <c r="O34" s="10" t="s">
        <v>13</v>
      </c>
      <c r="P34" s="8"/>
      <c r="Q34" s="8"/>
      <c r="W34" s="11" t="s">
        <v>13</v>
      </c>
    </row>
    <row r="35" spans="1:23" s="11" customFormat="1" ht="40.5" customHeight="1" x14ac:dyDescent="0.3">
      <c r="A35" s="8" t="s">
        <v>13</v>
      </c>
      <c r="B35" s="10" t="s">
        <v>727</v>
      </c>
      <c r="C35" s="10" t="s">
        <v>47</v>
      </c>
      <c r="D35" s="9" t="s">
        <v>728</v>
      </c>
      <c r="E35" s="9" t="s">
        <v>819</v>
      </c>
      <c r="F35" s="9" t="s">
        <v>29</v>
      </c>
      <c r="G35" s="10" t="s">
        <v>729</v>
      </c>
      <c r="H35" s="10">
        <f t="shared" si="0"/>
        <v>6</v>
      </c>
      <c r="I35" s="16" t="s">
        <v>30</v>
      </c>
      <c r="J35" s="10"/>
      <c r="K35" s="10"/>
      <c r="L35" s="10"/>
      <c r="M35" s="10"/>
      <c r="N35" s="10"/>
      <c r="O35" s="10" t="s">
        <v>13</v>
      </c>
      <c r="P35" s="8"/>
      <c r="Q35" s="8"/>
      <c r="W35" s="11" t="s">
        <v>13</v>
      </c>
    </row>
    <row r="36" spans="1:23" s="11" customFormat="1" ht="40.5" customHeight="1" x14ac:dyDescent="0.3">
      <c r="A36" s="8" t="s">
        <v>13</v>
      </c>
      <c r="B36" s="10" t="s">
        <v>730</v>
      </c>
      <c r="C36" s="10" t="s">
        <v>15</v>
      </c>
      <c r="D36" s="9" t="s">
        <v>731</v>
      </c>
      <c r="E36" s="9" t="s">
        <v>71</v>
      </c>
      <c r="F36" s="9" t="s">
        <v>36</v>
      </c>
      <c r="G36" s="10" t="s">
        <v>72</v>
      </c>
      <c r="H36" s="10">
        <f t="shared" si="0"/>
        <v>12</v>
      </c>
      <c r="I36" s="16" t="str">
        <f>'[1]Z0000002-238846 BOM trien k hai'!$I$79</f>
        <v>đã đặt hàng, dự kiến 26/3 gửi hàng</v>
      </c>
      <c r="J36" s="10"/>
      <c r="K36" s="10"/>
      <c r="L36" s="10"/>
      <c r="M36" s="10"/>
      <c r="N36" s="10"/>
      <c r="O36" s="10" t="s">
        <v>13</v>
      </c>
      <c r="P36" s="8"/>
      <c r="Q36" s="8"/>
      <c r="W36" s="11" t="s">
        <v>13</v>
      </c>
    </row>
    <row r="37" spans="1:23" s="11" customFormat="1" ht="40.5" customHeight="1" x14ac:dyDescent="0.3">
      <c r="A37" s="8" t="s">
        <v>13</v>
      </c>
      <c r="B37" s="10" t="s">
        <v>732</v>
      </c>
      <c r="C37" s="10" t="s">
        <v>47</v>
      </c>
      <c r="D37" s="10" t="s">
        <v>733</v>
      </c>
      <c r="E37" s="9" t="s">
        <v>86</v>
      </c>
      <c r="F37" s="10" t="str">
        <f>F30</f>
        <v>GTAM</v>
      </c>
      <c r="G37" s="10" t="s">
        <v>734</v>
      </c>
      <c r="H37" s="10">
        <f t="shared" si="0"/>
        <v>6</v>
      </c>
      <c r="I37" s="10"/>
      <c r="J37" s="10"/>
      <c r="K37" s="10"/>
      <c r="L37" s="10"/>
      <c r="M37" s="10"/>
      <c r="N37" s="10"/>
      <c r="O37" s="10" t="s">
        <v>13</v>
      </c>
      <c r="P37" s="8"/>
      <c r="Q37" s="8"/>
      <c r="W37" s="11" t="s">
        <v>13</v>
      </c>
    </row>
    <row r="38" spans="1:23" s="11" customFormat="1" ht="40.5" customHeight="1" x14ac:dyDescent="0.3">
      <c r="A38" s="8" t="s">
        <v>13</v>
      </c>
      <c r="B38" s="10" t="s">
        <v>735</v>
      </c>
      <c r="C38" s="10" t="s">
        <v>21</v>
      </c>
      <c r="D38" s="10" t="s">
        <v>736</v>
      </c>
      <c r="E38" s="10" t="s">
        <v>737</v>
      </c>
      <c r="F38" s="10" t="s">
        <v>496</v>
      </c>
      <c r="G38" s="10" t="s">
        <v>738</v>
      </c>
      <c r="H38" s="10">
        <f t="shared" si="0"/>
        <v>24</v>
      </c>
      <c r="I38" s="10" t="str">
        <f>I23</f>
        <v>Ng đã đặt NCC mới cho đủ 84CV</v>
      </c>
      <c r="J38" s="10"/>
      <c r="K38" s="10"/>
      <c r="L38" s="10"/>
      <c r="M38" s="10"/>
      <c r="N38" s="10"/>
      <c r="O38" s="10" t="s">
        <v>13</v>
      </c>
      <c r="P38" s="8"/>
      <c r="Q38" s="8"/>
      <c r="W38" s="11" t="s">
        <v>13</v>
      </c>
    </row>
    <row r="39" spans="1:23" s="11" customFormat="1" ht="40.5" customHeight="1" x14ac:dyDescent="0.3">
      <c r="A39" s="8" t="s">
        <v>13</v>
      </c>
      <c r="B39" s="10" t="s">
        <v>739</v>
      </c>
      <c r="C39" s="10" t="s">
        <v>47</v>
      </c>
      <c r="D39" s="10" t="s">
        <v>740</v>
      </c>
      <c r="E39" s="10" t="str">
        <f>E6</f>
        <v>AL6061, anode màu đen</v>
      </c>
      <c r="F39" s="10" t="str">
        <f>F6</f>
        <v>GTAM</v>
      </c>
      <c r="G39" s="10" t="s">
        <v>643</v>
      </c>
      <c r="H39" s="10">
        <f t="shared" si="0"/>
        <v>6</v>
      </c>
      <c r="I39" s="10"/>
      <c r="J39" s="10"/>
      <c r="K39" s="10"/>
      <c r="L39" s="10"/>
      <c r="M39" s="10"/>
      <c r="N39" s="10"/>
      <c r="O39" s="10" t="s">
        <v>13</v>
      </c>
      <c r="P39" s="8"/>
      <c r="Q39" s="8"/>
      <c r="W39" s="11" t="s">
        <v>13</v>
      </c>
    </row>
    <row r="40" spans="1:23" s="11" customFormat="1" ht="40.5" customHeight="1" x14ac:dyDescent="0.3">
      <c r="A40" s="8" t="s">
        <v>13</v>
      </c>
      <c r="B40" s="10" t="s">
        <v>741</v>
      </c>
      <c r="C40" s="10" t="s">
        <v>15</v>
      </c>
      <c r="D40" s="10" t="s">
        <v>742</v>
      </c>
      <c r="E40" s="10" t="str">
        <f t="shared" ref="E40:F42" si="1">E3</f>
        <v>Vòng bi B6000ZZ</v>
      </c>
      <c r="F40" s="10" t="str">
        <f t="shared" si="1"/>
        <v>VB</v>
      </c>
      <c r="G40" s="10" t="s">
        <v>140</v>
      </c>
      <c r="H40" s="10">
        <f t="shared" si="0"/>
        <v>12</v>
      </c>
      <c r="I40" s="10" t="str">
        <f>I3</f>
        <v>đã đặt CN</v>
      </c>
      <c r="J40" s="10"/>
      <c r="K40" s="10"/>
      <c r="L40" s="10"/>
      <c r="M40" s="10"/>
      <c r="N40" s="10"/>
      <c r="O40" s="10" t="s">
        <v>13</v>
      </c>
      <c r="P40" s="8"/>
      <c r="Q40" s="8"/>
      <c r="W40" s="11" t="s">
        <v>13</v>
      </c>
    </row>
    <row r="41" spans="1:23" s="11" customFormat="1" ht="40.5" customHeight="1" x14ac:dyDescent="0.3">
      <c r="A41" s="8" t="s">
        <v>13</v>
      </c>
      <c r="B41" s="10" t="s">
        <v>743</v>
      </c>
      <c r="C41" s="10" t="s">
        <v>15</v>
      </c>
      <c r="D41" s="10" t="s">
        <v>744</v>
      </c>
      <c r="E41" s="10" t="str">
        <f t="shared" si="1"/>
        <v>Belt PU đen, chống tĩnh điện, dày 1.5mm, bản rộng 20mm, chu vi 670mm ( đo mép trong chu vi 677mm, căn chỉnh đã ở giữa )</v>
      </c>
      <c r="F41" s="10" t="str">
        <f t="shared" si="1"/>
        <v>Yongli</v>
      </c>
      <c r="G41" s="10" t="s">
        <v>637</v>
      </c>
      <c r="H41" s="10">
        <f t="shared" si="0"/>
        <v>12</v>
      </c>
      <c r="I41" s="10" t="str">
        <f>I4</f>
        <v>đã chốt đặt hàng</v>
      </c>
      <c r="J41" s="10"/>
      <c r="K41" s="10"/>
      <c r="L41" s="10"/>
      <c r="M41" s="10"/>
      <c r="N41" s="10"/>
      <c r="O41" s="10" t="s">
        <v>13</v>
      </c>
      <c r="P41" s="8"/>
      <c r="Q41" s="8"/>
      <c r="W41" s="11" t="s">
        <v>13</v>
      </c>
    </row>
    <row r="42" spans="1:23" s="11" customFormat="1" ht="40.5" customHeight="1" x14ac:dyDescent="0.3">
      <c r="A42" s="8" t="s">
        <v>13</v>
      </c>
      <c r="B42" s="10" t="s">
        <v>745</v>
      </c>
      <c r="C42" s="10" t="s">
        <v>15</v>
      </c>
      <c r="D42" s="10" t="s">
        <v>746</v>
      </c>
      <c r="E42" s="10" t="str">
        <f t="shared" si="1"/>
        <v>chốt cài KES3-12</v>
      </c>
      <c r="F42" s="10" t="str">
        <f t="shared" si="1"/>
        <v xml:space="preserve">then cài </v>
      </c>
      <c r="G42" s="10" t="s">
        <v>76</v>
      </c>
      <c r="H42" s="10">
        <f t="shared" si="0"/>
        <v>12</v>
      </c>
      <c r="I42" s="10" t="str">
        <f>I5</f>
        <v>đã tồn kho sẵn</v>
      </c>
      <c r="J42" s="10"/>
      <c r="K42" s="10"/>
      <c r="L42" s="10"/>
      <c r="M42" s="10"/>
      <c r="N42" s="10"/>
      <c r="O42" s="10" t="s">
        <v>13</v>
      </c>
      <c r="P42" s="8"/>
      <c r="Q42" s="8"/>
      <c r="W42" s="11" t="s">
        <v>13</v>
      </c>
    </row>
    <row r="43" spans="1:23" s="11" customFormat="1" ht="40.5" customHeight="1" x14ac:dyDescent="0.3">
      <c r="A43" s="8" t="s">
        <v>13</v>
      </c>
      <c r="B43" s="10" t="s">
        <v>747</v>
      </c>
      <c r="C43" s="10" t="s">
        <v>47</v>
      </c>
      <c r="D43" s="10" t="s">
        <v>748</v>
      </c>
      <c r="E43" s="10" t="str">
        <f>E39</f>
        <v>AL6061, anode màu đen</v>
      </c>
      <c r="F43" s="10" t="str">
        <f>F39</f>
        <v>GTAM</v>
      </c>
      <c r="G43" s="10" t="s">
        <v>643</v>
      </c>
      <c r="H43" s="10">
        <f t="shared" si="0"/>
        <v>6</v>
      </c>
      <c r="I43" s="10"/>
      <c r="J43" s="10"/>
      <c r="K43" s="10"/>
      <c r="L43" s="10"/>
      <c r="M43" s="10"/>
      <c r="N43" s="10"/>
      <c r="O43" s="10" t="s">
        <v>13</v>
      </c>
      <c r="P43" s="8"/>
      <c r="Q43" s="8"/>
      <c r="W43" s="11" t="s">
        <v>13</v>
      </c>
    </row>
    <row r="44" spans="1:23" s="11" customFormat="1" ht="40.5" customHeight="1" x14ac:dyDescent="0.3">
      <c r="A44" s="8" t="s">
        <v>13</v>
      </c>
      <c r="B44" s="10" t="s">
        <v>749</v>
      </c>
      <c r="C44" s="10" t="s">
        <v>15</v>
      </c>
      <c r="D44" s="10" t="s">
        <v>750</v>
      </c>
      <c r="E44" s="10" t="str">
        <f t="shared" ref="E44:F59" si="2">E7</f>
        <v>AL6061, anode màu đen</v>
      </c>
      <c r="F44" s="10" t="str">
        <f t="shared" si="2"/>
        <v>GTAM</v>
      </c>
      <c r="G44" s="10" t="s">
        <v>646</v>
      </c>
      <c r="H44" s="10">
        <f t="shared" si="0"/>
        <v>12</v>
      </c>
      <c r="I44" s="10"/>
      <c r="J44" s="10"/>
      <c r="K44" s="10"/>
      <c r="L44" s="10"/>
      <c r="M44" s="10"/>
      <c r="N44" s="10"/>
      <c r="O44" s="10" t="s">
        <v>13</v>
      </c>
      <c r="P44" s="8"/>
      <c r="Q44" s="8"/>
      <c r="W44" s="11" t="s">
        <v>13</v>
      </c>
    </row>
    <row r="45" spans="1:23" s="11" customFormat="1" ht="40.5" customHeight="1" x14ac:dyDescent="0.3">
      <c r="A45" s="8" t="s">
        <v>13</v>
      </c>
      <c r="B45" s="10" t="s">
        <v>751</v>
      </c>
      <c r="C45" s="10" t="s">
        <v>21</v>
      </c>
      <c r="D45" s="10" t="s">
        <v>752</v>
      </c>
      <c r="E45" s="10" t="str">
        <f t="shared" si="2"/>
        <v>AL6061, anode màu đen</v>
      </c>
      <c r="F45" s="10" t="str">
        <f t="shared" si="2"/>
        <v>GTAM</v>
      </c>
      <c r="G45" s="10" t="s">
        <v>649</v>
      </c>
      <c r="H45" s="10">
        <f t="shared" si="0"/>
        <v>24</v>
      </c>
      <c r="I45" s="10"/>
      <c r="J45" s="10"/>
      <c r="K45" s="10"/>
      <c r="L45" s="10"/>
      <c r="M45" s="10"/>
      <c r="N45" s="10"/>
      <c r="O45" s="10" t="s">
        <v>13</v>
      </c>
      <c r="P45" s="8"/>
      <c r="Q45" s="8"/>
      <c r="W45" s="11" t="s">
        <v>13</v>
      </c>
    </row>
    <row r="46" spans="1:23" s="11" customFormat="1" ht="40.5" customHeight="1" x14ac:dyDescent="0.3">
      <c r="A46" s="8" t="s">
        <v>13</v>
      </c>
      <c r="B46" s="10" t="s">
        <v>753</v>
      </c>
      <c r="C46" s="10" t="s">
        <v>21</v>
      </c>
      <c r="D46" s="10" t="s">
        <v>754</v>
      </c>
      <c r="E46" s="10" t="str">
        <f t="shared" si="2"/>
        <v>AL6061, anode màu đen</v>
      </c>
      <c r="F46" s="10" t="str">
        <f t="shared" si="2"/>
        <v>GTAM</v>
      </c>
      <c r="G46" s="10" t="s">
        <v>652</v>
      </c>
      <c r="H46" s="10">
        <f t="shared" si="0"/>
        <v>24</v>
      </c>
      <c r="I46" s="10"/>
      <c r="J46" s="10"/>
      <c r="K46" s="10"/>
      <c r="L46" s="10"/>
      <c r="M46" s="10"/>
      <c r="N46" s="10"/>
      <c r="O46" s="10" t="s">
        <v>13</v>
      </c>
      <c r="P46" s="8"/>
      <c r="Q46" s="8"/>
      <c r="W46" s="11" t="s">
        <v>13</v>
      </c>
    </row>
    <row r="47" spans="1:23" s="11" customFormat="1" ht="40.5" customHeight="1" x14ac:dyDescent="0.3">
      <c r="A47" s="8" t="s">
        <v>13</v>
      </c>
      <c r="B47" s="10" t="s">
        <v>755</v>
      </c>
      <c r="C47" s="10" t="s">
        <v>47</v>
      </c>
      <c r="D47" s="10" t="s">
        <v>756</v>
      </c>
      <c r="E47" s="10" t="str">
        <f t="shared" si="2"/>
        <v>AL6061, anode màu đen</v>
      </c>
      <c r="F47" s="10" t="str">
        <f t="shared" si="2"/>
        <v>GTAM</v>
      </c>
      <c r="G47" s="10" t="s">
        <v>655</v>
      </c>
      <c r="H47" s="10">
        <f t="shared" si="0"/>
        <v>6</v>
      </c>
      <c r="I47" s="10"/>
      <c r="J47" s="10"/>
      <c r="K47" s="10"/>
      <c r="L47" s="10"/>
      <c r="M47" s="10"/>
      <c r="N47" s="10"/>
      <c r="O47" s="10" t="s">
        <v>13</v>
      </c>
      <c r="P47" s="8"/>
      <c r="Q47" s="8"/>
      <c r="W47" s="11" t="s">
        <v>13</v>
      </c>
    </row>
    <row r="48" spans="1:23" s="11" customFormat="1" ht="40.5" customHeight="1" x14ac:dyDescent="0.3">
      <c r="A48" s="8" t="s">
        <v>13</v>
      </c>
      <c r="B48" s="10" t="s">
        <v>757</v>
      </c>
      <c r="C48" s="10" t="s">
        <v>15</v>
      </c>
      <c r="D48" s="10" t="s">
        <v>758</v>
      </c>
      <c r="E48" s="10" t="str">
        <f t="shared" si="2"/>
        <v>AL6061, anode màu đen</v>
      </c>
      <c r="F48" s="10" t="str">
        <f t="shared" si="2"/>
        <v>GTAM</v>
      </c>
      <c r="G48" s="10" t="s">
        <v>658</v>
      </c>
      <c r="H48" s="10">
        <f t="shared" si="0"/>
        <v>12</v>
      </c>
      <c r="I48" s="10"/>
      <c r="J48" s="10"/>
      <c r="K48" s="10"/>
      <c r="L48" s="10"/>
      <c r="M48" s="10"/>
      <c r="N48" s="10"/>
      <c r="O48" s="10" t="s">
        <v>13</v>
      </c>
      <c r="P48" s="8"/>
      <c r="Q48" s="8"/>
      <c r="W48" s="11" t="s">
        <v>13</v>
      </c>
    </row>
    <row r="49" spans="1:23" s="11" customFormat="1" ht="40.5" customHeight="1" x14ac:dyDescent="0.3">
      <c r="A49" s="8" t="s">
        <v>13</v>
      </c>
      <c r="B49" s="10" t="s">
        <v>759</v>
      </c>
      <c r="C49" s="10" t="s">
        <v>15</v>
      </c>
      <c r="D49" s="10" t="s">
        <v>760</v>
      </c>
      <c r="E49" s="10" t="str">
        <f t="shared" si="2"/>
        <v>ct trục, SUS304 điện hóa/ S45C mạ nikel, có lăn nhám</v>
      </c>
      <c r="F49" s="10" t="str">
        <f>F13</f>
        <v>PG</v>
      </c>
      <c r="G49" s="10" t="s">
        <v>56</v>
      </c>
      <c r="H49" s="10">
        <f t="shared" si="0"/>
        <v>12</v>
      </c>
      <c r="I49" s="10"/>
      <c r="J49" s="10"/>
      <c r="K49" s="10"/>
      <c r="L49" s="10"/>
      <c r="M49" s="10"/>
      <c r="N49" s="10"/>
      <c r="O49" s="10" t="s">
        <v>13</v>
      </c>
      <c r="P49" s="8"/>
      <c r="Q49" s="8"/>
      <c r="W49" s="11" t="s">
        <v>13</v>
      </c>
    </row>
    <row r="50" spans="1:23" s="11" customFormat="1" ht="40.5" customHeight="1" x14ac:dyDescent="0.3">
      <c r="A50" s="8" t="s">
        <v>13</v>
      </c>
      <c r="B50" s="10" t="s">
        <v>761</v>
      </c>
      <c r="C50" s="10" t="s">
        <v>15</v>
      </c>
      <c r="D50" s="10" t="s">
        <v>762</v>
      </c>
      <c r="E50" s="10" t="str">
        <f t="shared" si="2"/>
        <v>ct trục, SUS304 điện hóa/ S45C mạ nikel, không lăn nhám</v>
      </c>
      <c r="F50" s="10" t="str">
        <f>F49</f>
        <v>PG</v>
      </c>
      <c r="G50" s="10" t="s">
        <v>56</v>
      </c>
      <c r="H50" s="10">
        <f t="shared" si="0"/>
        <v>12</v>
      </c>
      <c r="I50" s="10"/>
      <c r="J50" s="10"/>
      <c r="K50" s="10"/>
      <c r="L50" s="10"/>
      <c r="M50" s="10"/>
      <c r="N50" s="10"/>
      <c r="O50" s="10" t="s">
        <v>13</v>
      </c>
      <c r="P50" s="8"/>
      <c r="Q50" s="8"/>
      <c r="W50" s="11" t="s">
        <v>13</v>
      </c>
    </row>
    <row r="51" spans="1:23" s="11" customFormat="1" ht="40.5" customHeight="1" x14ac:dyDescent="0.3">
      <c r="A51" s="8" t="s">
        <v>13</v>
      </c>
      <c r="B51" s="10" t="s">
        <v>763</v>
      </c>
      <c r="C51" s="10" t="s">
        <v>47</v>
      </c>
      <c r="D51" s="10" t="s">
        <v>764</v>
      </c>
      <c r="E51" s="10" t="str">
        <f t="shared" si="2"/>
        <v>ct trục, SUS304 điện hóa/ S45C mạ nikel</v>
      </c>
      <c r="F51" s="10" t="str">
        <f t="shared" si="2"/>
        <v>PG</v>
      </c>
      <c r="G51" s="10" t="s">
        <v>667</v>
      </c>
      <c r="H51" s="10">
        <f t="shared" si="0"/>
        <v>6</v>
      </c>
      <c r="I51" s="10"/>
      <c r="J51" s="10"/>
      <c r="K51" s="10"/>
      <c r="L51" s="10"/>
      <c r="M51" s="10"/>
      <c r="N51" s="10"/>
      <c r="O51" s="10" t="s">
        <v>13</v>
      </c>
      <c r="P51" s="8"/>
      <c r="Q51" s="8"/>
      <c r="W51" s="11" t="s">
        <v>13</v>
      </c>
    </row>
    <row r="52" spans="1:23" s="11" customFormat="1" ht="40.5" customHeight="1" x14ac:dyDescent="0.3">
      <c r="A52" s="8" t="s">
        <v>13</v>
      </c>
      <c r="B52" s="10" t="s">
        <v>765</v>
      </c>
      <c r="C52" s="10" t="s">
        <v>47</v>
      </c>
      <c r="D52" s="10" t="s">
        <v>766</v>
      </c>
      <c r="E52" s="10" t="str">
        <f t="shared" si="2"/>
        <v>AL6061, anode màu đen</v>
      </c>
      <c r="F52" s="10" t="str">
        <f t="shared" si="2"/>
        <v>GTAM</v>
      </c>
      <c r="G52" s="10" t="s">
        <v>670</v>
      </c>
      <c r="H52" s="10">
        <f t="shared" si="0"/>
        <v>6</v>
      </c>
      <c r="I52" s="10"/>
      <c r="J52" s="10"/>
      <c r="K52" s="10"/>
      <c r="L52" s="10"/>
      <c r="M52" s="10"/>
      <c r="N52" s="10"/>
      <c r="O52" s="10" t="s">
        <v>13</v>
      </c>
      <c r="P52" s="8"/>
      <c r="Q52" s="8"/>
      <c r="W52" s="11" t="s">
        <v>13</v>
      </c>
    </row>
    <row r="53" spans="1:23" s="11" customFormat="1" ht="40.5" customHeight="1" x14ac:dyDescent="0.3">
      <c r="A53" s="8" t="s">
        <v>13</v>
      </c>
      <c r="B53" s="10" t="s">
        <v>767</v>
      </c>
      <c r="C53" s="10" t="s">
        <v>15</v>
      </c>
      <c r="D53" s="10" t="s">
        <v>768</v>
      </c>
      <c r="E53" s="10" t="str">
        <f t="shared" si="2"/>
        <v>ct phay, SUS304 điện hóa hoặc S45C mạ nikel</v>
      </c>
      <c r="F53" s="9" t="str">
        <f t="shared" si="2"/>
        <v>Vitech</v>
      </c>
      <c r="G53" s="10" t="s">
        <v>675</v>
      </c>
      <c r="H53" s="10">
        <f t="shared" si="0"/>
        <v>12</v>
      </c>
      <c r="I53" s="10" t="str">
        <f>I16</f>
        <v>đang yc gửi báo giá</v>
      </c>
      <c r="J53" s="10"/>
      <c r="K53" s="10"/>
      <c r="L53" s="10"/>
      <c r="M53" s="10"/>
      <c r="N53" s="10"/>
      <c r="O53" s="10" t="s">
        <v>13</v>
      </c>
      <c r="P53" s="8"/>
      <c r="Q53" s="8"/>
      <c r="W53" s="11" t="s">
        <v>13</v>
      </c>
    </row>
    <row r="54" spans="1:23" s="11" customFormat="1" ht="40.5" customHeight="1" x14ac:dyDescent="0.3">
      <c r="A54" s="8" t="s">
        <v>13</v>
      </c>
      <c r="B54" s="10" t="s">
        <v>769</v>
      </c>
      <c r="C54" s="10" t="s">
        <v>47</v>
      </c>
      <c r="D54" s="10" t="s">
        <v>770</v>
      </c>
      <c r="E54" s="10" t="str">
        <f t="shared" si="2"/>
        <v>SUS304 điện hóa</v>
      </c>
      <c r="F54" s="10" t="str">
        <f t="shared" si="2"/>
        <v>CG</v>
      </c>
      <c r="G54" s="10" t="s">
        <v>678</v>
      </c>
      <c r="H54" s="10">
        <f t="shared" si="0"/>
        <v>6</v>
      </c>
      <c r="I54" s="10"/>
      <c r="J54" s="10"/>
      <c r="K54" s="10"/>
      <c r="L54" s="10"/>
      <c r="M54" s="10"/>
      <c r="N54" s="10"/>
      <c r="O54" s="10" t="s">
        <v>13</v>
      </c>
      <c r="P54" s="8"/>
      <c r="Q54" s="8"/>
      <c r="W54" s="11" t="s">
        <v>13</v>
      </c>
    </row>
    <row r="55" spans="1:23" s="11" customFormat="1" ht="40.5" customHeight="1" x14ac:dyDescent="0.3">
      <c r="A55" s="8" t="s">
        <v>13</v>
      </c>
      <c r="B55" s="10" t="s">
        <v>771</v>
      </c>
      <c r="C55" s="10" t="s">
        <v>47</v>
      </c>
      <c r="D55" s="10" t="s">
        <v>772</v>
      </c>
      <c r="E55" s="10" t="str">
        <f t="shared" si="2"/>
        <v>SUS304 điện hóa</v>
      </c>
      <c r="F55" s="10" t="str">
        <f t="shared" si="2"/>
        <v>CG</v>
      </c>
      <c r="G55" s="10" t="s">
        <v>681</v>
      </c>
      <c r="H55" s="10">
        <f t="shared" si="0"/>
        <v>6</v>
      </c>
      <c r="I55" s="10"/>
      <c r="J55" s="10"/>
      <c r="K55" s="10"/>
      <c r="L55" s="10"/>
      <c r="M55" s="10"/>
      <c r="N55" s="10"/>
      <c r="O55" s="10" t="s">
        <v>13</v>
      </c>
      <c r="P55" s="8"/>
      <c r="Q55" s="8"/>
      <c r="W55" s="11" t="s">
        <v>13</v>
      </c>
    </row>
    <row r="56" spans="1:23" s="11" customFormat="1" ht="40.5" customHeight="1" x14ac:dyDescent="0.3">
      <c r="A56" s="8" t="s">
        <v>13</v>
      </c>
      <c r="B56" s="10" t="s">
        <v>773</v>
      </c>
      <c r="C56" s="10" t="s">
        <v>47</v>
      </c>
      <c r="D56" s="10" t="s">
        <v>774</v>
      </c>
      <c r="E56" s="10" t="str">
        <f t="shared" si="2"/>
        <v>SUS304 điện hóa</v>
      </c>
      <c r="F56" s="10" t="str">
        <f t="shared" si="2"/>
        <v>CG</v>
      </c>
      <c r="G56" s="10" t="s">
        <v>684</v>
      </c>
      <c r="H56" s="10">
        <f t="shared" si="0"/>
        <v>6</v>
      </c>
      <c r="I56" s="10"/>
      <c r="J56" s="10"/>
      <c r="K56" s="10"/>
      <c r="L56" s="10"/>
      <c r="M56" s="10"/>
      <c r="N56" s="10"/>
      <c r="O56" s="10" t="s">
        <v>13</v>
      </c>
      <c r="P56" s="8"/>
      <c r="Q56" s="8"/>
      <c r="W56" s="11" t="s">
        <v>13</v>
      </c>
    </row>
    <row r="57" spans="1:23" s="11" customFormat="1" ht="40.5" customHeight="1" x14ac:dyDescent="0.3">
      <c r="A57" s="8" t="s">
        <v>13</v>
      </c>
      <c r="B57" s="10" t="s">
        <v>775</v>
      </c>
      <c r="C57" s="10" t="s">
        <v>47</v>
      </c>
      <c r="D57" s="10" t="s">
        <v>776</v>
      </c>
      <c r="E57" s="10" t="str">
        <f t="shared" si="2"/>
        <v>SUS304 điện hóa</v>
      </c>
      <c r="F57" s="10" t="str">
        <f t="shared" si="2"/>
        <v>CG</v>
      </c>
      <c r="G57" s="10" t="s">
        <v>687</v>
      </c>
      <c r="H57" s="10">
        <f t="shared" si="0"/>
        <v>6</v>
      </c>
      <c r="I57" s="10"/>
      <c r="J57" s="10"/>
      <c r="K57" s="10"/>
      <c r="L57" s="10"/>
      <c r="M57" s="10"/>
      <c r="N57" s="10"/>
      <c r="O57" s="10" t="s">
        <v>13</v>
      </c>
      <c r="P57" s="8"/>
      <c r="Q57" s="8"/>
      <c r="W57" s="11" t="s">
        <v>13</v>
      </c>
    </row>
    <row r="58" spans="1:23" s="11" customFormat="1" ht="40.5" customHeight="1" x14ac:dyDescent="0.3">
      <c r="A58" s="8" t="s">
        <v>13</v>
      </c>
      <c r="B58" s="10" t="s">
        <v>777</v>
      </c>
      <c r="C58" s="10" t="s">
        <v>15</v>
      </c>
      <c r="D58" s="10" t="s">
        <v>778</v>
      </c>
      <c r="E58" s="10" t="str">
        <f t="shared" si="2"/>
        <v>SUS304 điện hóa</v>
      </c>
      <c r="F58" s="10" t="str">
        <f t="shared" si="2"/>
        <v>CG</v>
      </c>
      <c r="G58" s="10" t="s">
        <v>690</v>
      </c>
      <c r="H58" s="10">
        <f t="shared" si="0"/>
        <v>12</v>
      </c>
      <c r="I58" s="10"/>
      <c r="J58" s="10"/>
      <c r="K58" s="10"/>
      <c r="L58" s="10"/>
      <c r="M58" s="10"/>
      <c r="N58" s="10"/>
      <c r="O58" s="10" t="s">
        <v>13</v>
      </c>
      <c r="P58" s="8"/>
      <c r="Q58" s="8"/>
      <c r="W58" s="11" t="s">
        <v>13</v>
      </c>
    </row>
    <row r="59" spans="1:23" s="11" customFormat="1" ht="40.5" customHeight="1" x14ac:dyDescent="0.3">
      <c r="A59" s="8" t="s">
        <v>13</v>
      </c>
      <c r="B59" s="10" t="s">
        <v>779</v>
      </c>
      <c r="C59" s="10" t="s">
        <v>47</v>
      </c>
      <c r="D59" s="10" t="s">
        <v>780</v>
      </c>
      <c r="E59" s="10" t="str">
        <f t="shared" si="2"/>
        <v>SUS304 điện hóa</v>
      </c>
      <c r="F59" s="10" t="str">
        <f t="shared" si="2"/>
        <v>CG</v>
      </c>
      <c r="G59" s="10" t="s">
        <v>693</v>
      </c>
      <c r="H59" s="10">
        <f t="shared" si="0"/>
        <v>6</v>
      </c>
      <c r="I59" s="10"/>
      <c r="J59" s="10"/>
      <c r="K59" s="10"/>
      <c r="L59" s="10"/>
      <c r="M59" s="10"/>
      <c r="N59" s="10"/>
      <c r="O59" s="10" t="s">
        <v>13</v>
      </c>
      <c r="P59" s="8"/>
      <c r="Q59" s="8"/>
      <c r="W59" s="11" t="s">
        <v>13</v>
      </c>
    </row>
    <row r="60" spans="1:23" s="11" customFormat="1" ht="40.5" customHeight="1" x14ac:dyDescent="0.3">
      <c r="A60" s="8" t="s">
        <v>13</v>
      </c>
      <c r="B60" s="10" t="s">
        <v>781</v>
      </c>
      <c r="C60" s="10" t="s">
        <v>15</v>
      </c>
      <c r="D60" s="10" t="s">
        <v>782</v>
      </c>
      <c r="E60" s="10" t="str">
        <f t="shared" ref="E60:F75" si="3">E23</f>
        <v>SUS304 điện hóa</v>
      </c>
      <c r="F60" s="10" t="str">
        <f t="shared" si="3"/>
        <v>LINH</v>
      </c>
      <c r="G60" s="10" t="s">
        <v>696</v>
      </c>
      <c r="H60" s="10">
        <f t="shared" si="0"/>
        <v>12</v>
      </c>
      <c r="I60" s="10" t="str">
        <f>I38</f>
        <v>Ng đã đặt NCC mới cho đủ 84CV</v>
      </c>
      <c r="J60" s="10"/>
      <c r="K60" s="10"/>
      <c r="L60" s="10"/>
      <c r="M60" s="10"/>
      <c r="N60" s="10"/>
      <c r="O60" s="10" t="s">
        <v>13</v>
      </c>
      <c r="P60" s="8"/>
      <c r="Q60" s="8"/>
      <c r="W60" s="11" t="s">
        <v>13</v>
      </c>
    </row>
    <row r="61" spans="1:23" s="11" customFormat="1" ht="40.5" customHeight="1" x14ac:dyDescent="0.3">
      <c r="A61" s="8" t="s">
        <v>13</v>
      </c>
      <c r="B61" s="10" t="s">
        <v>783</v>
      </c>
      <c r="C61" s="10" t="s">
        <v>47</v>
      </c>
      <c r="D61" s="10" t="s">
        <v>784</v>
      </c>
      <c r="E61" s="10" t="str">
        <f t="shared" si="3"/>
        <v>AL6061, anode màu đen</v>
      </c>
      <c r="F61" s="10" t="str">
        <f t="shared" si="3"/>
        <v>GTAM</v>
      </c>
      <c r="G61" s="10" t="s">
        <v>699</v>
      </c>
      <c r="H61" s="10">
        <f t="shared" si="0"/>
        <v>6</v>
      </c>
      <c r="I61" s="10"/>
      <c r="J61" s="10"/>
      <c r="K61" s="10"/>
      <c r="L61" s="10"/>
      <c r="M61" s="10"/>
      <c r="N61" s="10"/>
      <c r="O61" s="10" t="s">
        <v>13</v>
      </c>
      <c r="P61" s="8"/>
      <c r="Q61" s="8"/>
      <c r="W61" s="11" t="s">
        <v>13</v>
      </c>
    </row>
    <row r="62" spans="1:23" s="11" customFormat="1" ht="40.5" customHeight="1" x14ac:dyDescent="0.3">
      <c r="A62" s="8" t="s">
        <v>13</v>
      </c>
      <c r="B62" s="10" t="s">
        <v>785</v>
      </c>
      <c r="C62" s="10" t="s">
        <v>47</v>
      </c>
      <c r="D62" s="10" t="s">
        <v>786</v>
      </c>
      <c r="E62" s="10" t="str">
        <f t="shared" si="3"/>
        <v>AL6061, anode màu đen</v>
      </c>
      <c r="F62" s="10" t="str">
        <f t="shared" si="3"/>
        <v>GTAM</v>
      </c>
      <c r="G62" s="10" t="s">
        <v>702</v>
      </c>
      <c r="H62" s="10">
        <f t="shared" si="0"/>
        <v>6</v>
      </c>
      <c r="I62" s="10"/>
      <c r="J62" s="10"/>
      <c r="K62" s="10"/>
      <c r="L62" s="10"/>
      <c r="M62" s="10"/>
      <c r="N62" s="10"/>
      <c r="O62" s="10" t="s">
        <v>13</v>
      </c>
      <c r="P62" s="8"/>
      <c r="Q62" s="8"/>
      <c r="W62" s="11" t="s">
        <v>13</v>
      </c>
    </row>
    <row r="63" spans="1:23" s="11" customFormat="1" ht="40.5" customHeight="1" x14ac:dyDescent="0.3">
      <c r="A63" s="8" t="s">
        <v>13</v>
      </c>
      <c r="B63" s="10" t="s">
        <v>787</v>
      </c>
      <c r="C63" s="10" t="s">
        <v>47</v>
      </c>
      <c r="D63" s="10" t="s">
        <v>788</v>
      </c>
      <c r="E63" s="10" t="str">
        <f t="shared" si="3"/>
        <v>AL6061, anode màu đen</v>
      </c>
      <c r="F63" s="10" t="str">
        <f t="shared" si="3"/>
        <v>GTAM</v>
      </c>
      <c r="G63" s="10" t="s">
        <v>705</v>
      </c>
      <c r="H63" s="10">
        <f t="shared" si="0"/>
        <v>6</v>
      </c>
      <c r="I63" s="10"/>
      <c r="J63" s="10"/>
      <c r="K63" s="10"/>
      <c r="L63" s="10"/>
      <c r="M63" s="10"/>
      <c r="N63" s="10"/>
      <c r="O63" s="10" t="s">
        <v>13</v>
      </c>
      <c r="P63" s="8"/>
      <c r="Q63" s="8"/>
      <c r="W63" s="11" t="s">
        <v>13</v>
      </c>
    </row>
    <row r="64" spans="1:23" s="11" customFormat="1" ht="40.5" customHeight="1" x14ac:dyDescent="0.3">
      <c r="A64" s="8" t="s">
        <v>13</v>
      </c>
      <c r="B64" s="10" t="s">
        <v>789</v>
      </c>
      <c r="C64" s="10" t="s">
        <v>15</v>
      </c>
      <c r="D64" s="10" t="s">
        <v>790</v>
      </c>
      <c r="E64" s="10" t="str">
        <f>E30</f>
        <v>AL6061, anode màu đen</v>
      </c>
      <c r="F64" s="10" t="str">
        <f t="shared" si="3"/>
        <v>GTAM</v>
      </c>
      <c r="G64" s="10" t="s">
        <v>708</v>
      </c>
      <c r="H64" s="10">
        <f t="shared" si="0"/>
        <v>12</v>
      </c>
      <c r="I64" s="10"/>
      <c r="J64" s="10"/>
      <c r="K64" s="10"/>
      <c r="L64" s="10"/>
      <c r="M64" s="10"/>
      <c r="N64" s="10"/>
      <c r="O64" s="10" t="s">
        <v>13</v>
      </c>
      <c r="P64" s="8"/>
      <c r="Q64" s="8"/>
      <c r="W64" s="11" t="s">
        <v>13</v>
      </c>
    </row>
    <row r="65" spans="1:23" s="11" customFormat="1" ht="40.5" customHeight="1" x14ac:dyDescent="0.3">
      <c r="A65" s="8" t="s">
        <v>13</v>
      </c>
      <c r="B65" s="10" t="s">
        <v>791</v>
      </c>
      <c r="C65" s="10" t="s">
        <v>21</v>
      </c>
      <c r="D65" s="10" t="s">
        <v>792</v>
      </c>
      <c r="E65" s="10" t="str">
        <f t="shared" ref="E65:E71" si="4">E28</f>
        <v>Vòng bi 688AZZ, NSK</v>
      </c>
      <c r="F65" s="10" t="str">
        <f t="shared" si="3"/>
        <v>VB</v>
      </c>
      <c r="G65" s="10" t="s">
        <v>60</v>
      </c>
      <c r="H65" s="10">
        <f t="shared" si="0"/>
        <v>24</v>
      </c>
      <c r="I65" s="10"/>
      <c r="J65" s="10"/>
      <c r="K65" s="10"/>
      <c r="L65" s="10"/>
      <c r="M65" s="10"/>
      <c r="N65" s="10"/>
      <c r="O65" s="10" t="s">
        <v>13</v>
      </c>
      <c r="P65" s="8"/>
      <c r="Q65" s="8"/>
      <c r="W65" s="11" t="s">
        <v>13</v>
      </c>
    </row>
    <row r="66" spans="1:23" s="11" customFormat="1" ht="40.5" customHeight="1" x14ac:dyDescent="0.3">
      <c r="A66" s="8" t="s">
        <v>13</v>
      </c>
      <c r="B66" s="10" t="s">
        <v>793</v>
      </c>
      <c r="C66" s="10" t="s">
        <v>15</v>
      </c>
      <c r="D66" s="10" t="s">
        <v>794</v>
      </c>
      <c r="E66" s="10" t="str">
        <f t="shared" si="4"/>
        <v>AL6061, anode màu đen</v>
      </c>
      <c r="F66" s="10" t="str">
        <f t="shared" si="3"/>
        <v>GTAM</v>
      </c>
      <c r="G66" s="10" t="s">
        <v>714</v>
      </c>
      <c r="H66" s="10">
        <f t="shared" si="0"/>
        <v>12</v>
      </c>
      <c r="I66" s="10"/>
      <c r="J66" s="10"/>
      <c r="K66" s="10"/>
      <c r="L66" s="10"/>
      <c r="M66" s="10"/>
      <c r="N66" s="10"/>
      <c r="O66" s="10" t="s">
        <v>13</v>
      </c>
      <c r="P66" s="8"/>
      <c r="Q66" s="8"/>
      <c r="W66" s="11" t="s">
        <v>13</v>
      </c>
    </row>
    <row r="67" spans="1:23" s="11" customFormat="1" ht="40.5" customHeight="1" x14ac:dyDescent="0.3">
      <c r="A67" s="8" t="s">
        <v>13</v>
      </c>
      <c r="B67" s="10" t="s">
        <v>795</v>
      </c>
      <c r="C67" s="10" t="s">
        <v>15</v>
      </c>
      <c r="D67" s="10" t="s">
        <v>796</v>
      </c>
      <c r="E67" s="10" t="str">
        <f t="shared" si="4"/>
        <v>AL6061, anode màu đen</v>
      </c>
      <c r="F67" s="10" t="str">
        <f t="shared" si="3"/>
        <v>GTAM</v>
      </c>
      <c r="G67" s="10" t="s">
        <v>136</v>
      </c>
      <c r="H67" s="10">
        <f t="shared" si="0"/>
        <v>12</v>
      </c>
      <c r="I67" s="10"/>
      <c r="J67" s="10"/>
      <c r="K67" s="10"/>
      <c r="L67" s="10"/>
      <c r="M67" s="10"/>
      <c r="N67" s="10"/>
      <c r="O67" s="10" t="s">
        <v>13</v>
      </c>
      <c r="P67" s="8"/>
      <c r="Q67" s="8"/>
      <c r="W67" s="11" t="s">
        <v>13</v>
      </c>
    </row>
    <row r="68" spans="1:23" s="11" customFormat="1" ht="40.5" customHeight="1" x14ac:dyDescent="0.3">
      <c r="A68" s="8" t="s">
        <v>13</v>
      </c>
      <c r="B68" s="10" t="s">
        <v>797</v>
      </c>
      <c r="C68" s="10" t="s">
        <v>47</v>
      </c>
      <c r="D68" s="10" t="s">
        <v>798</v>
      </c>
      <c r="E68" s="10" t="str">
        <f t="shared" si="4"/>
        <v>AL6061, anode màu đen</v>
      </c>
      <c r="F68" s="10" t="str">
        <f t="shared" si="3"/>
        <v>GTAM</v>
      </c>
      <c r="G68" s="10" t="s">
        <v>719</v>
      </c>
      <c r="H68" s="10">
        <f t="shared" ref="H68:H76" si="5">$H$1*C68</f>
        <v>6</v>
      </c>
      <c r="I68" s="10"/>
      <c r="J68" s="10"/>
      <c r="K68" s="10"/>
      <c r="L68" s="10"/>
      <c r="M68" s="10"/>
      <c r="N68" s="10"/>
      <c r="O68" s="10" t="s">
        <v>13</v>
      </c>
      <c r="P68" s="8"/>
      <c r="Q68" s="8"/>
      <c r="W68" s="11" t="s">
        <v>13</v>
      </c>
    </row>
    <row r="69" spans="1:23" s="11" customFormat="1" ht="40.5" customHeight="1" x14ac:dyDescent="0.3">
      <c r="A69" s="8" t="s">
        <v>13</v>
      </c>
      <c r="B69" s="10" t="s">
        <v>799</v>
      </c>
      <c r="C69" s="10" t="s">
        <v>15</v>
      </c>
      <c r="D69" s="10" t="s">
        <v>800</v>
      </c>
      <c r="E69" s="10" t="str">
        <f t="shared" si="4"/>
        <v>AL6061, anode màu đen</v>
      </c>
      <c r="F69" s="10" t="str">
        <f t="shared" si="3"/>
        <v>GTAM</v>
      </c>
      <c r="G69" s="10" t="s">
        <v>722</v>
      </c>
      <c r="H69" s="10">
        <f t="shared" si="5"/>
        <v>12</v>
      </c>
      <c r="I69" s="10"/>
      <c r="J69" s="10"/>
      <c r="K69" s="10"/>
      <c r="L69" s="10"/>
      <c r="M69" s="10"/>
      <c r="N69" s="10"/>
      <c r="O69" s="10" t="s">
        <v>13</v>
      </c>
      <c r="P69" s="8"/>
      <c r="Q69" s="8"/>
      <c r="W69" s="11" t="s">
        <v>13</v>
      </c>
    </row>
    <row r="70" spans="1:23" s="11" customFormat="1" ht="40.5" customHeight="1" x14ac:dyDescent="0.3">
      <c r="A70" s="8" t="s">
        <v>13</v>
      </c>
      <c r="B70" s="10" t="s">
        <v>801</v>
      </c>
      <c r="C70" s="10" t="s">
        <v>47</v>
      </c>
      <c r="D70" s="10" t="s">
        <v>802</v>
      </c>
      <c r="E70" s="10" t="str">
        <f t="shared" si="4"/>
        <v>động cơ SPG S6I06GX-V12/ bộ điều khiển tốc độ đi kèm</v>
      </c>
      <c r="F70" s="10" t="str">
        <f t="shared" si="3"/>
        <v>SPG</v>
      </c>
      <c r="G70" s="10" t="s">
        <v>64</v>
      </c>
      <c r="H70" s="10">
        <f t="shared" si="5"/>
        <v>6</v>
      </c>
      <c r="I70" s="10"/>
      <c r="J70" s="10"/>
      <c r="K70" s="10"/>
      <c r="L70" s="10"/>
      <c r="M70" s="10"/>
      <c r="N70" s="10"/>
      <c r="O70" s="10" t="s">
        <v>13</v>
      </c>
      <c r="P70" s="8"/>
      <c r="Q70" s="8"/>
      <c r="W70" s="11" t="s">
        <v>13</v>
      </c>
    </row>
    <row r="71" spans="1:23" s="11" customFormat="1" ht="40.5" customHeight="1" x14ac:dyDescent="0.3">
      <c r="A71" s="8" t="s">
        <v>13</v>
      </c>
      <c r="B71" s="10" t="s">
        <v>803</v>
      </c>
      <c r="C71" s="10" t="s">
        <v>47</v>
      </c>
      <c r="D71" s="10" t="s">
        <v>804</v>
      </c>
      <c r="E71" s="10" t="str">
        <f t="shared" si="4"/>
        <v>Hộp số SPG S6KA30B</v>
      </c>
      <c r="F71" s="10" t="str">
        <f t="shared" si="3"/>
        <v>SPG</v>
      </c>
      <c r="G71" s="10" t="s">
        <v>68</v>
      </c>
      <c r="H71" s="10">
        <f t="shared" si="5"/>
        <v>6</v>
      </c>
      <c r="I71" s="10"/>
      <c r="J71" s="10"/>
      <c r="K71" s="10"/>
      <c r="L71" s="10"/>
      <c r="M71" s="10"/>
      <c r="N71" s="10"/>
      <c r="O71" s="10" t="s">
        <v>13</v>
      </c>
      <c r="P71" s="8"/>
      <c r="Q71" s="8"/>
      <c r="W71" s="11" t="s">
        <v>13</v>
      </c>
    </row>
    <row r="72" spans="1:23" s="11" customFormat="1" ht="40.5" customHeight="1" x14ac:dyDescent="0.3">
      <c r="A72" s="8" t="s">
        <v>13</v>
      </c>
      <c r="B72" s="10" t="s">
        <v>805</v>
      </c>
      <c r="C72" s="10" t="s">
        <v>47</v>
      </c>
      <c r="D72" s="10" t="s">
        <v>806</v>
      </c>
      <c r="E72" s="10" t="s">
        <v>819</v>
      </c>
      <c r="F72" s="9" t="str">
        <f t="shared" si="3"/>
        <v>MI</v>
      </c>
      <c r="G72" s="10" t="s">
        <v>729</v>
      </c>
      <c r="H72" s="10">
        <f t="shared" si="5"/>
        <v>6</v>
      </c>
      <c r="I72" s="10" t="str">
        <f>I35</f>
        <v>đã báo a VA đặt hàng</v>
      </c>
      <c r="J72" s="10"/>
      <c r="K72" s="10"/>
      <c r="L72" s="10"/>
      <c r="M72" s="10"/>
      <c r="N72" s="10"/>
      <c r="O72" s="10" t="s">
        <v>13</v>
      </c>
      <c r="P72" s="8"/>
      <c r="Q72" s="8"/>
      <c r="W72" s="11" t="s">
        <v>13</v>
      </c>
    </row>
    <row r="73" spans="1:23" s="11" customFormat="1" ht="40.5" customHeight="1" x14ac:dyDescent="0.3">
      <c r="A73" s="8" t="s">
        <v>13</v>
      </c>
      <c r="B73" s="10" t="s">
        <v>807</v>
      </c>
      <c r="C73" s="10" t="s">
        <v>15</v>
      </c>
      <c r="D73" s="9" t="s">
        <v>808</v>
      </c>
      <c r="E73" s="9" t="s">
        <v>71</v>
      </c>
      <c r="F73" s="10" t="str">
        <f t="shared" si="3"/>
        <v>UP</v>
      </c>
      <c r="G73" s="10" t="s">
        <v>72</v>
      </c>
      <c r="H73" s="10">
        <f t="shared" si="5"/>
        <v>12</v>
      </c>
      <c r="I73" s="10" t="str">
        <f>I36</f>
        <v>đã đặt hàng, dự kiến 26/3 gửi hàng</v>
      </c>
      <c r="J73" s="10"/>
      <c r="K73" s="10"/>
      <c r="L73" s="10"/>
      <c r="M73" s="10"/>
      <c r="N73" s="10"/>
      <c r="O73" s="10" t="s">
        <v>13</v>
      </c>
      <c r="P73" s="8"/>
      <c r="Q73" s="8"/>
      <c r="W73" s="11" t="s">
        <v>13</v>
      </c>
    </row>
    <row r="74" spans="1:23" s="11" customFormat="1" ht="40.5" customHeight="1" x14ac:dyDescent="0.3">
      <c r="A74" s="8" t="s">
        <v>13</v>
      </c>
      <c r="B74" s="10" t="s">
        <v>809</v>
      </c>
      <c r="C74" s="10" t="s">
        <v>47</v>
      </c>
      <c r="D74" s="10" t="s">
        <v>810</v>
      </c>
      <c r="E74" s="10" t="str">
        <f>E37</f>
        <v>Mica trong</v>
      </c>
      <c r="F74" s="10" t="str">
        <f t="shared" si="3"/>
        <v>GTAM</v>
      </c>
      <c r="G74" s="10" t="s">
        <v>734</v>
      </c>
      <c r="H74" s="10">
        <f t="shared" si="5"/>
        <v>6</v>
      </c>
      <c r="I74" s="10"/>
      <c r="J74" s="10"/>
      <c r="K74" s="10"/>
      <c r="L74" s="10"/>
      <c r="M74" s="10"/>
      <c r="N74" s="10"/>
      <c r="O74" s="10" t="s">
        <v>13</v>
      </c>
      <c r="P74" s="8"/>
      <c r="Q74" s="8"/>
      <c r="W74" s="11" t="s">
        <v>13</v>
      </c>
    </row>
    <row r="75" spans="1:23" s="11" customFormat="1" ht="40.5" customHeight="1" x14ac:dyDescent="0.3">
      <c r="A75" s="8" t="s">
        <v>13</v>
      </c>
      <c r="B75" s="10" t="s">
        <v>811</v>
      </c>
      <c r="C75" s="10" t="s">
        <v>21</v>
      </c>
      <c r="D75" s="10" t="s">
        <v>812</v>
      </c>
      <c r="E75" s="10" t="str">
        <f>E38</f>
        <v>chân đỡ thân máy SETGS12-89-SC65-M6-N6</v>
      </c>
      <c r="F75" s="10" t="str">
        <f t="shared" si="3"/>
        <v>LINH</v>
      </c>
      <c r="G75" s="10" t="s">
        <v>738</v>
      </c>
      <c r="H75" s="10">
        <f t="shared" si="5"/>
        <v>24</v>
      </c>
      <c r="I75" s="10" t="str">
        <f>I60</f>
        <v>Ng đã đặt NCC mới cho đủ 84CV</v>
      </c>
      <c r="J75" s="10"/>
      <c r="K75" s="10"/>
      <c r="L75" s="10"/>
      <c r="M75" s="10"/>
      <c r="N75" s="10"/>
      <c r="O75" s="10" t="s">
        <v>13</v>
      </c>
      <c r="P75" s="8"/>
      <c r="Q75" s="8"/>
      <c r="W75" s="11" t="s">
        <v>13</v>
      </c>
    </row>
    <row r="76" spans="1:23" s="11" customFormat="1" ht="40.5" customHeight="1" x14ac:dyDescent="0.3">
      <c r="A76" s="8" t="s">
        <v>13</v>
      </c>
      <c r="B76" s="10" t="s">
        <v>813</v>
      </c>
      <c r="C76" s="10" t="s">
        <v>47</v>
      </c>
      <c r="D76" s="10" t="s">
        <v>814</v>
      </c>
      <c r="E76" s="10" t="str">
        <f>E43</f>
        <v>AL6061, anode màu đen</v>
      </c>
      <c r="F76" s="10" t="str">
        <f>F43</f>
        <v>GTAM</v>
      </c>
      <c r="G76" s="10" t="s">
        <v>643</v>
      </c>
      <c r="H76" s="10">
        <f t="shared" si="5"/>
        <v>6</v>
      </c>
      <c r="I76" s="10"/>
      <c r="J76" s="10"/>
      <c r="K76" s="10"/>
      <c r="L76" s="10"/>
      <c r="M76" s="10"/>
      <c r="N76" s="10"/>
      <c r="O76" s="10" t="s">
        <v>13</v>
      </c>
      <c r="P76" s="8"/>
      <c r="Q76" s="8"/>
      <c r="W76" s="11" t="s">
        <v>13</v>
      </c>
    </row>
    <row r="79" spans="1:23" x14ac:dyDescent="0.3">
      <c r="F79" s="18" t="s">
        <v>25</v>
      </c>
      <c r="G79" s="18" t="str">
        <f>'Z0000002-238848 BOM trien k hai'!G70</f>
        <v>đã đặt phôi, có thể làm xong trc 5/4</v>
      </c>
      <c r="H79" s="18"/>
    </row>
    <row r="80" spans="1:23" x14ac:dyDescent="0.3">
      <c r="F80" s="18" t="s">
        <v>26</v>
      </c>
      <c r="G80" s="18" t="str">
        <f>'Z0000002-238848 BOM trien k hai'!G71</f>
        <v>đã chốt làm MAH toàn bộ, có hàng trc 4/4</v>
      </c>
      <c r="H80" s="18"/>
    </row>
    <row r="81" spans="6:8" x14ac:dyDescent="0.3">
      <c r="F81" s="18" t="s">
        <v>496</v>
      </c>
      <c r="G81" s="18" t="str">
        <f>I75</f>
        <v>Ng đã đặt NCC mới cho đủ 84CV</v>
      </c>
      <c r="H81" s="18"/>
    </row>
    <row r="82" spans="6:8" x14ac:dyDescent="0.3">
      <c r="F82" s="18" t="str">
        <f>F72</f>
        <v>MI</v>
      </c>
      <c r="G82" s="18" t="str">
        <f>I72</f>
        <v>đã báo a VA đặt hàng</v>
      </c>
      <c r="H82" s="18"/>
    </row>
    <row r="83" spans="6:8" x14ac:dyDescent="0.3">
      <c r="F83" s="18" t="s">
        <v>31</v>
      </c>
      <c r="G83" s="18" t="str">
        <f>G81</f>
        <v>Ng đã đặt NCC mới cho đủ 84CV</v>
      </c>
      <c r="H83" s="18"/>
    </row>
    <row r="84" spans="6:8" x14ac:dyDescent="0.3">
      <c r="F84" s="18" t="str">
        <f>F5</f>
        <v xml:space="preserve">then cài </v>
      </c>
      <c r="G84" s="18" t="str">
        <f>I5</f>
        <v>đã tồn kho sẵn</v>
      </c>
      <c r="H84" s="18"/>
    </row>
    <row r="85" spans="6:8" x14ac:dyDescent="0.3">
      <c r="F85" s="18" t="s">
        <v>34</v>
      </c>
      <c r="G85" s="18" t="str">
        <f>'[1]Z0000002-238846 BOM trien k hai'!$G$108</f>
        <v>đã báo đặt hàng</v>
      </c>
      <c r="H85" s="18"/>
    </row>
    <row r="86" spans="6:8" x14ac:dyDescent="0.3">
      <c r="F86" s="18" t="s">
        <v>36</v>
      </c>
      <c r="G86" s="18" t="str">
        <f>I73</f>
        <v>đã đặt hàng, dự kiến 26/3 gửi hàng</v>
      </c>
      <c r="H86" s="18"/>
    </row>
    <row r="87" spans="6:8" x14ac:dyDescent="0.3">
      <c r="F87" s="18" t="s">
        <v>674</v>
      </c>
      <c r="G87" s="18" t="str">
        <f>I53</f>
        <v>đang yc gửi báo giá</v>
      </c>
      <c r="H87" s="18"/>
    </row>
    <row r="88" spans="6:8" x14ac:dyDescent="0.3">
      <c r="F88" s="18" t="str">
        <f>F40</f>
        <v>VB</v>
      </c>
      <c r="G88" s="18" t="str">
        <f>I40</f>
        <v>đã đặt CN</v>
      </c>
      <c r="H88" s="18"/>
    </row>
    <row r="89" spans="6:8" x14ac:dyDescent="0.3">
      <c r="F89" s="18" t="s">
        <v>18</v>
      </c>
      <c r="G89" s="18" t="str">
        <f>I41</f>
        <v>đã chốt đặt hàng</v>
      </c>
      <c r="H89" s="18"/>
    </row>
  </sheetData>
  <autoFilter ref="A2:I76" xr:uid="{5C4ADEA8-4AAE-4FF9-82E2-F513AFFC78E2}"/>
  <conditionalFormatting sqref="G1:G1048576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Z0000002-238846 BOM trien k hai</vt:lpstr>
      <vt:lpstr>Z0000002-238847 BOM trien khai</vt:lpstr>
      <vt:lpstr>Z0000002-238848 BOM trien k hai</vt:lpstr>
      <vt:lpstr>Z0000002-238851 BOM triển kh 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GTAM JSC</cp:lastModifiedBy>
  <dcterms:created xsi:type="dcterms:W3CDTF">2015-06-05T18:17:20Z</dcterms:created>
  <dcterms:modified xsi:type="dcterms:W3CDTF">2026-04-13T11:10:29Z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2026-03-25T06:04:51Z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b754d18a-6b7f-408b-acc9-7cd90d8068c7</vt:lpwstr>
  </property>
  <property fmtid="{D5CDD505-2E9C-101B-9397-08002B2CF9AE}" pid="7" name="MSIP_Label_defa4170-0d19-0005-0004-bc88714345d2_ActionId">
    <vt:lpwstr>dfc351fe-92ac-4ac5-b53b-64a9f7b3d75c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