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gtamtech-my.sharepoint.com/personal/ketoan_gtam_vn/Documents/GTAM_KẾ TOÁN/2026_NB/ĐƠN ĐẶT HÀNG/"/>
    </mc:Choice>
  </mc:AlternateContent>
  <xr:revisionPtr revIDLastSave="534" documentId="8_{6D98AACC-9ABC-4714-A7CD-7325DC408FE4}" xr6:coauthVersionLast="47" xr6:coauthVersionMax="47" xr10:uidLastSave="{289E8211-31E1-4DFA-9F46-BD5E765F90D0}"/>
  <bookViews>
    <workbookView xWindow="-120" yWindow="-120" windowWidth="29040" windowHeight="15840" activeTab="4" xr2:uid="{00000000-000D-0000-FFFF-FFFF00000000}"/>
  </bookViews>
  <sheets>
    <sheet name="Mẫu đơn đặt hàng" sheetId="1" r:id="rId1"/>
    <sheet name="25.3" sheetId="3" r:id="rId2"/>
    <sheet name="28.3" sheetId="4" r:id="rId3"/>
    <sheet name="7.4" sheetId="5" r:id="rId4"/>
    <sheet name="8,4" sheetId="7" r:id="rId5"/>
    <sheet name="Sheet1" sheetId="2" state="veryHidden" r:id="rId6"/>
  </sheets>
  <definedNames>
    <definedName name="product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8" i="7" l="1"/>
  <c r="K19" i="7"/>
  <c r="K20" i="7"/>
  <c r="K21" i="7"/>
  <c r="K22" i="7"/>
  <c r="K23" i="7"/>
  <c r="K27" i="7"/>
  <c r="K26" i="7"/>
  <c r="K25" i="7"/>
  <c r="K17" i="7"/>
  <c r="K29" i="5"/>
  <c r="K30" i="5"/>
  <c r="K31" i="5"/>
  <c r="K32" i="5"/>
  <c r="K33" i="5"/>
  <c r="K25" i="5"/>
  <c r="K26" i="5"/>
  <c r="K27" i="5"/>
  <c r="K28" i="5"/>
  <c r="K24" i="5"/>
  <c r="K22" i="5"/>
  <c r="K23" i="5"/>
  <c r="K21" i="5"/>
  <c r="M49" i="5" s="1"/>
  <c r="K18" i="5"/>
  <c r="I20" i="5"/>
  <c r="K20" i="5" s="1"/>
  <c r="I19" i="5"/>
  <c r="K19" i="5" s="1"/>
  <c r="I18" i="5"/>
  <c r="I17" i="5"/>
  <c r="K17" i="5" s="1"/>
  <c r="K48" i="5"/>
  <c r="K47" i="5"/>
  <c r="K46" i="5"/>
  <c r="K44" i="5"/>
  <c r="K32" i="4"/>
  <c r="K31" i="4"/>
  <c r="K30" i="4"/>
  <c r="K28" i="4"/>
  <c r="K17" i="4"/>
  <c r="K17" i="3"/>
  <c r="K32" i="3"/>
  <c r="K31" i="3"/>
  <c r="K30" i="3"/>
  <c r="K28" i="3"/>
  <c r="K18" i="1"/>
  <c r="K20" i="1"/>
  <c r="K21" i="1"/>
  <c r="K22" i="1"/>
  <c r="M28" i="7" l="1"/>
  <c r="M30" i="7" s="1"/>
  <c r="M31" i="7" s="1"/>
  <c r="M51" i="5"/>
  <c r="M52" i="5" s="1"/>
  <c r="M33" i="4"/>
  <c r="M33" i="3"/>
  <c r="K17" i="1"/>
  <c r="M35" i="4" l="1"/>
  <c r="M36" i="4" s="1"/>
  <c r="M35" i="3"/>
  <c r="M36" i="3" s="1"/>
  <c r="M23" i="1"/>
  <c r="M25" i="1" s="1"/>
  <c r="M26" i="1" l="1"/>
</calcChain>
</file>

<file path=xl/sharedStrings.xml><?xml version="1.0" encoding="utf-8"?>
<sst xmlns="http://schemas.openxmlformats.org/spreadsheetml/2006/main" count="335" uniqueCount="112">
  <si>
    <t>Ngày</t>
  </si>
  <si>
    <t>P.O. Number</t>
  </si>
  <si>
    <t>Mã khách hàng</t>
  </si>
  <si>
    <t>Mã</t>
  </si>
  <si>
    <t>Tên sản phẩm/Mô tả</t>
  </si>
  <si>
    <t>Số lượng</t>
  </si>
  <si>
    <t>Đơn giá</t>
  </si>
  <si>
    <t>Thành tiền</t>
  </si>
  <si>
    <t xml:space="preserve">Tổng </t>
  </si>
  <si>
    <t>Chiết khấu</t>
  </si>
  <si>
    <t>Tổng tính</t>
  </si>
  <si>
    <t>000001</t>
  </si>
  <si>
    <t>Ghi chú và yêu cầu</t>
  </si>
  <si>
    <t>Mã số thuế:  0110409405</t>
  </si>
  <si>
    <t>E-mail: anhpv@gtam.vn</t>
  </si>
  <si>
    <t>Chất lượng sản phẩm</t>
  </si>
  <si>
    <t>Điều khoản giao hàng</t>
  </si>
  <si>
    <t>Địa điểm giao hàng</t>
  </si>
  <si>
    <t>Điện thoại:  0983400018</t>
  </si>
  <si>
    <t>Điều khoản thanh toán</t>
  </si>
  <si>
    <t>Theo thỏa thuận hoặc theo hợp đồng nguyên tắc đã ký.</t>
  </si>
  <si>
    <t>Tên người nhận đơn:</t>
  </si>
  <si>
    <t>Tên người lập đơn:</t>
  </si>
  <si>
    <t>Xác nhận của bên mua</t>
  </si>
  <si>
    <t>Xác nhận của bên cung cấp</t>
  </si>
  <si>
    <t>Bên cung cấp</t>
  </si>
  <si>
    <t>Bên cung câp đảm bảo chất lượng, gia công đúng theo bản vẽ yêu cầu đã kèm theo hợp đồng</t>
  </si>
  <si>
    <t>Điện thoại:</t>
  </si>
  <si>
    <t>E-mail:</t>
  </si>
  <si>
    <t>Công ty GTAM xác nhận đặt hàng tại Quý công ty theo mẫu yêu cầu, nội dung đặt hàng như sau:</t>
  </si>
  <si>
    <t>Bên mua thanh toán số tiền hàng sau 60 ngày kể từ ngày nhận hàng.</t>
  </si>
  <si>
    <t>Tham chiếu</t>
  </si>
  <si>
    <t>Thuế  GTGT</t>
  </si>
  <si>
    <t xml:space="preserve">ĐƠN ĐẶT HÀNG </t>
  </si>
  <si>
    <t xml:space="preserve">   Bên mua</t>
  </si>
  <si>
    <r>
      <t xml:space="preserve">Tên doanh nghiệp: </t>
    </r>
    <r>
      <rPr>
        <b/>
        <sz val="10"/>
        <color theme="1"/>
        <rFont val="Aptos Narrow"/>
        <family val="2"/>
      </rPr>
      <t>CÔNG TY CP SẢN XUẤT TỰ ĐỘNG HÓA CÔNG NGHỆ TOÀN CẦU (GTAM JSC)</t>
    </r>
  </si>
  <si>
    <t>Địa chỉ: Xóm Trại, Thôn Đông, Xã Kim Nỗ, Huyện Đông Anh, Thành phố Hà Nội, Việt Nam</t>
  </si>
  <si>
    <t>GTAM_HMC 240621</t>
  </si>
  <si>
    <r>
      <t xml:space="preserve">Tên doanh nghiệp: </t>
    </r>
    <r>
      <rPr>
        <b/>
        <sz val="10"/>
        <color theme="1"/>
        <rFont val="Aptos Narrow"/>
        <family val="2"/>
      </rPr>
      <t>CÔNG TY TNHH MTV SẢN XUẤT VÀ THƯƠNG MẠI CƠ KHÍ HOÀN HẢO</t>
    </r>
  </si>
  <si>
    <t>Địa chỉ: Thôn Từ Am, xã Tam Hưng, TP Hà Nội, Việt Nam</t>
  </si>
  <si>
    <t>Mã số thuế: 0106378514</t>
  </si>
  <si>
    <t xml:space="preserve"> 738_Q_84SET</t>
  </si>
  <si>
    <t xml:space="preserve">Điện thoại: </t>
  </si>
  <si>
    <t xml:space="preserve">E-mail: </t>
  </si>
  <si>
    <t>ĐVT</t>
  </si>
  <si>
    <t>Địa chỉ: Xóm Trại, Thôn Đông, Xã Thiên Lộc, Thành phố Hà Nội, Việt Nam</t>
  </si>
  <si>
    <t xml:space="preserve">Mã số thuế:  </t>
  </si>
  <si>
    <t>0110409405</t>
  </si>
  <si>
    <t>Theo thỏa thuận của hai bên</t>
  </si>
  <si>
    <t>Địa chỉ:  Số nhà 11, Ngõ Chùa I, Thôn Đìa, Xã Phúc Thịnh, Thành phố Hà Nội.</t>
  </si>
  <si>
    <t>Mã số thuế: '0107810889</t>
  </si>
  <si>
    <t xml:space="preserve"> 0985 145 533</t>
  </si>
  <si>
    <t>Bộ trục băng tải 738_Q</t>
  </si>
  <si>
    <t>VD_SUS304_30_104931.stp</t>
  </si>
  <si>
    <t>VD_SUS304_304930.stp</t>
  </si>
  <si>
    <t>VD_SUS304_384925.stp</t>
  </si>
  <si>
    <t>VD_SUS304_12_34921.stp</t>
  </si>
  <si>
    <t>D4I_DIEN PHAN_LAN NHAM4913.stp</t>
  </si>
  <si>
    <t>vd_sus304_1.stp</t>
  </si>
  <si>
    <t>VD_SUS304_3.stp</t>
  </si>
  <si>
    <t>VD_SUS304_124896.stp</t>
  </si>
  <si>
    <t>C1M4895.stp</t>
  </si>
  <si>
    <t>VS_SUS304_12_14916.stp</t>
  </si>
  <si>
    <t>Vật liệu/Quy cách</t>
  </si>
  <si>
    <r>
      <t>Tên doanh nghiệp:</t>
    </r>
    <r>
      <rPr>
        <b/>
        <sz val="11"/>
        <color theme="1"/>
        <rFont val="Aptos Narrow"/>
        <family val="2"/>
      </rPr>
      <t xml:space="preserve">     Công Ty TNHH Cơ Khí Chính Xác Tân Tiến</t>
    </r>
  </si>
  <si>
    <r>
      <t xml:space="preserve">Tên doanh nghiệp: </t>
    </r>
    <r>
      <rPr>
        <b/>
        <sz val="11"/>
        <color theme="1"/>
        <rFont val="Aptos Narrow"/>
        <family val="2"/>
      </rPr>
      <t>CÔNG TY CP SẢN XUẤT TỰ ĐỘNG HÓA CÔNG NGHỆ TOÀN CẦU (GTAM JSC)</t>
    </r>
  </si>
  <si>
    <t>SUS 304, KT: D10x210mm</t>
  </si>
  <si>
    <t>SUS 304, KT: F27xT1xL160mm</t>
  </si>
  <si>
    <t>SUS 304, KT: F38xT6.5xL 205mm</t>
  </si>
  <si>
    <t>SUS 304, KT: D12x250mm</t>
  </si>
  <si>
    <t>S45C, niken, KT: F76x272mm</t>
  </si>
  <si>
    <t>SUS 304, KT: F10x198mm</t>
  </si>
  <si>
    <t>SUS 304, KT: F34xT4xL 200mm</t>
  </si>
  <si>
    <t>SUS 304, KT: D12x240mm</t>
  </si>
  <si>
    <t>cái</t>
  </si>
  <si>
    <t>Bộ</t>
  </si>
  <si>
    <t>2703-01/Gtam-TT</t>
  </si>
  <si>
    <t>2803-01/Gtam-TT</t>
  </si>
  <si>
    <t>Cụm chi tiết băng tải gia công theo bản vẽ (Z0000002-508684)</t>
  </si>
  <si>
    <t>260704/Gtam-TT</t>
  </si>
  <si>
    <t>Mã NCC</t>
  </si>
  <si>
    <t>Bộ bản vẽ</t>
  </si>
  <si>
    <t>Part:
13.17 MF_SUS304_1_Mirror# (V05, V37, V68)</t>
  </si>
  <si>
    <t>SUS 304, điện hóa</t>
  </si>
  <si>
    <t>Cái</t>
  </si>
  <si>
    <t xml:space="preserve"> PART : 
18.10_Mnf_SUS304_1_MIR (V22, V53, V85)</t>
  </si>
  <si>
    <t xml:space="preserve"> PART : 
18.9_Mnf_SUS304_1_MIR</t>
  </si>
  <si>
    <t>Tiện 846 
(6 set)</t>
  </si>
  <si>
    <t xml:space="preserve"> PART : 21.6_Mnf_SUS304_1</t>
  </si>
  <si>
    <t xml:space="preserve"> PART : 21.7_Mnf_SUS304_1</t>
  </si>
  <si>
    <t xml:space="preserve"> PART : 21.5_Mnf_SUS304_1</t>
  </si>
  <si>
    <t>Tiện 851
(6 set)</t>
  </si>
  <si>
    <t xml:space="preserve"> PART : HI_SETGS12-89-SC65
M6-N6_Mirror#2</t>
  </si>
  <si>
    <t>PART : 
13.17_MF_SUS304_1_Mirror# 2</t>
  </si>
  <si>
    <t>PART : 
13.18_MF_SUS304_1_Mirror# 3</t>
  </si>
  <si>
    <t>PART : 
13.19_MF_SUS304_1_Mirror# 2</t>
  </si>
  <si>
    <t>PART : 
13.27_MF_SUS304_1_Mirror# 3</t>
  </si>
  <si>
    <t>Tiện  848
(6 set</t>
  </si>
  <si>
    <t xml:space="preserve"> PART : 6.3.Mnf_SUS304_03</t>
  </si>
  <si>
    <t xml:space="preserve"> PART : 
0.MF_SUS304_3_230824</t>
  </si>
  <si>
    <t xml:space="preserve"> PART : 7.3.Mnf_SUS304_04</t>
  </si>
  <si>
    <t>Tiện 847 
(9 set)</t>
  </si>
  <si>
    <t xml:space="preserve">NCC095          </t>
  </si>
  <si>
    <t>SUS 304</t>
  </si>
  <si>
    <t>AK17_238</t>
  </si>
  <si>
    <t>SUS 305</t>
  </si>
  <si>
    <t>SUS 306</t>
  </si>
  <si>
    <t>SUS 307</t>
  </si>
  <si>
    <t>SUS 308</t>
  </si>
  <si>
    <t>SUS 309</t>
  </si>
  <si>
    <t>SUS 310</t>
  </si>
  <si>
    <t>20260408/Gtam-TT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</si>
</sst>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* #,##0.0_-;\-* #,##0.0_-;_-* &quot;-&quot;??_-;_-@_-"/>
    <numFmt numFmtId="165" formatCode="_-* #,##0_-;\-* #,##0_-;_-* &quot;-&quot;??_-;_-@_-"/>
    <numFmt numFmtId="166" formatCode="_-* #,##0.0\ _₫_-;\-* #,##0.0\ _₫_-;_-* &quot;-&quot;?\ _₫_-;_-@_-"/>
    <numFmt numFmtId="167" formatCode="#,##0_ ;\-#,##0\ "/>
  </numFmts>
  <fonts count="28" x14ac:knownFonts="1">
    <font>
      <sz val="10"/>
      <color rgb="FF000000"/>
      <name val="Calibri"/>
      <scheme val="minor"/>
    </font>
    <font>
      <sz val="10"/>
      <color rgb="FF000000"/>
      <name val="Calibri"/>
      <family val="2"/>
      <scheme val="minor"/>
    </font>
    <font>
      <sz val="24"/>
      <color theme="1"/>
      <name val="Aptos Narrow"/>
      <family val="2"/>
    </font>
    <font>
      <b/>
      <sz val="12"/>
      <color rgb="FFB2B2B2"/>
      <name val="Aptos Narrow"/>
      <family val="2"/>
    </font>
    <font>
      <sz val="10"/>
      <color theme="1"/>
      <name val="Aptos Narrow"/>
      <family val="2"/>
    </font>
    <font>
      <sz val="10"/>
      <color rgb="FF000000"/>
      <name val="Aptos Narrow"/>
      <family val="2"/>
    </font>
    <font>
      <sz val="7"/>
      <color rgb="FFB2B2B2"/>
      <name val="Aptos Narrow"/>
      <family val="2"/>
    </font>
    <font>
      <sz val="9.5"/>
      <color theme="1"/>
      <name val="Aptos Narrow"/>
      <family val="2"/>
    </font>
    <font>
      <b/>
      <sz val="10"/>
      <color rgb="FFFFFFFF"/>
      <name val="Aptos Narrow"/>
      <family val="2"/>
    </font>
    <font>
      <sz val="8"/>
      <color theme="1"/>
      <name val="Aptos Narrow"/>
      <family val="2"/>
    </font>
    <font>
      <sz val="10"/>
      <name val="Aptos Narrow"/>
      <family val="2"/>
    </font>
    <font>
      <b/>
      <sz val="10"/>
      <name val="Aptos Narrow"/>
      <family val="2"/>
    </font>
    <font>
      <b/>
      <sz val="10"/>
      <color theme="1"/>
      <name val="Aptos Narrow"/>
      <family val="2"/>
    </font>
    <font>
      <sz val="8"/>
      <color rgb="FF808080"/>
      <name val="Aptos Narrow"/>
      <family val="2"/>
    </font>
    <font>
      <b/>
      <sz val="26"/>
      <color rgb="FF004269"/>
      <name val="Aptos Black"/>
      <family val="2"/>
    </font>
    <font>
      <sz val="10"/>
      <color rgb="FF000000"/>
      <name val="Calibri"/>
      <family val="2"/>
      <scheme val="minor"/>
    </font>
    <font>
      <i/>
      <sz val="10"/>
      <color theme="1"/>
      <name val="Aptos Narrow"/>
      <family val="2"/>
    </font>
    <font>
      <b/>
      <sz val="11"/>
      <color theme="1"/>
      <name val="Aptos Narrow"/>
      <family val="2"/>
    </font>
    <font>
      <b/>
      <sz val="11"/>
      <name val="Aptos Narrow"/>
      <family val="2"/>
    </font>
    <font>
      <sz val="11"/>
      <color theme="1"/>
      <name val="Aptos Narrow"/>
      <family val="2"/>
    </font>
    <font>
      <i/>
      <sz val="11"/>
      <color theme="1"/>
      <name val="Aptos Narrow"/>
      <family val="2"/>
    </font>
    <font>
      <b/>
      <sz val="11"/>
      <color rgb="FFB2B2B2"/>
      <name val="Aptos Narrow"/>
      <family val="2"/>
    </font>
    <font>
      <sz val="11"/>
      <color rgb="FF000000"/>
      <name val="Aptos Narrow"/>
      <family val="2"/>
    </font>
    <font>
      <sz val="11"/>
      <color rgb="FFB2B2B2"/>
      <name val="Aptos Narrow"/>
      <family val="2"/>
    </font>
    <font>
      <b/>
      <sz val="11"/>
      <color rgb="FFFFFFFF"/>
      <name val="Aptos Narrow"/>
      <family val="2"/>
    </font>
    <font>
      <sz val="11"/>
      <name val="Aptos Narrow"/>
      <family val="2"/>
    </font>
    <font>
      <b/>
      <sz val="16"/>
      <color rgb="FF004269"/>
      <name val="Aptos Narrow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4269"/>
        <bgColor rgb="FF004269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FFFFFF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rgb="FFB2B2B2"/>
      </top>
      <bottom style="thin">
        <color rgb="FFB2B2B2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/>
      <top/>
      <bottom/>
      <diagonal/>
    </border>
    <border>
      <left/>
      <right style="thin">
        <color rgb="FFB2B2B2"/>
      </right>
      <top/>
      <bottom/>
      <diagonal/>
    </border>
    <border>
      <left style="thin">
        <color rgb="FFFFFFFF"/>
      </left>
      <right/>
      <top style="thin">
        <color rgb="FFB2B2B2"/>
      </top>
      <bottom style="thin">
        <color rgb="FFB2B2B2"/>
      </bottom>
      <diagonal/>
    </border>
    <border>
      <left/>
      <right style="thin">
        <color theme="0"/>
      </right>
      <top style="thin">
        <color rgb="FFB2B2B2"/>
      </top>
      <bottom style="thin">
        <color rgb="FFB2B2B2"/>
      </bottom>
      <diagonal/>
    </border>
    <border>
      <left style="thin">
        <color theme="0"/>
      </left>
      <right/>
      <top/>
      <bottom style="thin">
        <color rgb="FFB2B2B2"/>
      </bottom>
      <diagonal/>
    </border>
    <border>
      <left/>
      <right style="thin">
        <color theme="2" tint="-4.9989318521683403E-2"/>
      </right>
      <top style="thin">
        <color rgb="FFB2B2B2"/>
      </top>
      <bottom style="thin">
        <color rgb="FFB2B2B2"/>
      </bottom>
      <diagonal/>
    </border>
    <border>
      <left/>
      <right style="thin">
        <color theme="2" tint="-4.9989318521683403E-2"/>
      </right>
      <top/>
      <bottom style="thin">
        <color rgb="FFB2B2B2"/>
      </bottom>
      <diagonal/>
    </border>
    <border>
      <left/>
      <right/>
      <top style="thin">
        <color rgb="FFB2B2B2"/>
      </top>
      <bottom/>
      <diagonal/>
    </border>
    <border>
      <left/>
      <right/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FFFFFF"/>
      </left>
      <right/>
      <top/>
      <bottom style="thin">
        <color rgb="FFB2B2B2"/>
      </bottom>
      <diagonal/>
    </border>
    <border>
      <left/>
      <right style="thin">
        <color theme="0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 style="thin">
        <color indexed="64"/>
      </bottom>
      <diagonal/>
    </border>
    <border>
      <left style="thin">
        <color rgb="FFB2B2B2"/>
      </left>
      <right/>
      <top/>
      <bottom style="thin">
        <color indexed="64"/>
      </bottom>
      <diagonal/>
    </border>
    <border>
      <left/>
      <right style="thin">
        <color rgb="FFB2B2B2"/>
      </right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indexed="64"/>
      </top>
      <bottom/>
      <diagonal/>
    </border>
    <border>
      <left style="thin">
        <color rgb="FFB2B2B2"/>
      </left>
      <right/>
      <top style="thin">
        <color indexed="64"/>
      </top>
      <bottom/>
      <diagonal/>
    </border>
    <border>
      <left/>
      <right style="thin">
        <color rgb="FFB2B2B2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5" fillId="0" borderId="0" applyFont="0" applyFill="0" applyBorder="0" applyAlignment="0" applyProtection="0"/>
  </cellStyleXfs>
  <cellXfs count="177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14" fontId="4" fillId="0" borderId="1" xfId="0" applyNumberFormat="1" applyFont="1" applyBorder="1" applyAlignment="1">
      <alignment horizontal="right" vertical="center"/>
    </xf>
    <xf numFmtId="0" fontId="7" fillId="0" borderId="1" xfId="0" applyFont="1" applyBorder="1" applyAlignment="1">
      <alignment horizontal="right" vertical="center"/>
    </xf>
    <xf numFmtId="49" fontId="4" fillId="0" borderId="1" xfId="0" applyNumberFormat="1" applyFont="1" applyBorder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9" fillId="0" borderId="0" xfId="0" applyFont="1" applyAlignment="1">
      <alignment vertical="center"/>
    </xf>
    <xf numFmtId="0" fontId="4" fillId="0" borderId="10" xfId="0" applyFont="1" applyBorder="1" applyAlignment="1">
      <alignment vertical="center"/>
    </xf>
    <xf numFmtId="165" fontId="4" fillId="0" borderId="10" xfId="1" applyNumberFormat="1" applyFont="1" applyBorder="1" applyAlignment="1">
      <alignment vertical="center"/>
    </xf>
    <xf numFmtId="0" fontId="10" fillId="0" borderId="7" xfId="0" applyFont="1" applyBorder="1" applyAlignment="1">
      <alignment vertical="center" wrapText="1"/>
    </xf>
    <xf numFmtId="164" fontId="4" fillId="0" borderId="6" xfId="1" applyNumberFormat="1" applyFont="1" applyBorder="1" applyAlignment="1">
      <alignment vertical="center"/>
    </xf>
    <xf numFmtId="0" fontId="11" fillId="0" borderId="7" xfId="0" applyFont="1" applyBorder="1" applyAlignment="1">
      <alignment vertical="center" wrapText="1"/>
    </xf>
    <xf numFmtId="164" fontId="12" fillId="0" borderId="6" xfId="1" applyNumberFormat="1" applyFont="1" applyBorder="1" applyAlignment="1">
      <alignment vertical="center"/>
    </xf>
    <xf numFmtId="0" fontId="4" fillId="0" borderId="4" xfId="0" applyFont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9" fontId="11" fillId="0" borderId="7" xfId="2" applyFont="1" applyBorder="1" applyAlignment="1">
      <alignment horizontal="left" vertical="center" wrapText="1"/>
    </xf>
    <xf numFmtId="0" fontId="4" fillId="0" borderId="4" xfId="0" applyFont="1" applyBorder="1" applyAlignment="1">
      <alignment vertical="center"/>
    </xf>
    <xf numFmtId="165" fontId="20" fillId="0" borderId="11" xfId="1" applyNumberFormat="1" applyFont="1" applyFill="1" applyBorder="1" applyAlignment="1">
      <alignment vertical="center"/>
    </xf>
    <xf numFmtId="167" fontId="19" fillId="0" borderId="10" xfId="1" applyNumberFormat="1" applyFont="1" applyFill="1" applyBorder="1" applyAlignment="1">
      <alignment horizontal="center" vertical="center"/>
    </xf>
    <xf numFmtId="167" fontId="17" fillId="3" borderId="10" xfId="1" applyNumberFormat="1" applyFont="1" applyFill="1" applyBorder="1" applyAlignment="1">
      <alignment horizontal="center" vertical="center"/>
    </xf>
    <xf numFmtId="165" fontId="17" fillId="3" borderId="10" xfId="1" applyNumberFormat="1" applyFont="1" applyFill="1" applyBorder="1" applyAlignment="1">
      <alignment vertical="center"/>
    </xf>
    <xf numFmtId="0" fontId="19" fillId="0" borderId="0" xfId="0" applyFont="1" applyAlignment="1">
      <alignment horizontal="left" vertical="center"/>
    </xf>
    <xf numFmtId="0" fontId="21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14" fontId="19" fillId="0" borderId="1" xfId="0" applyNumberFormat="1" applyFont="1" applyBorder="1" applyAlignment="1">
      <alignment horizontal="right" vertical="center"/>
    </xf>
    <xf numFmtId="0" fontId="19" fillId="0" borderId="1" xfId="0" applyFont="1" applyBorder="1" applyAlignment="1">
      <alignment horizontal="right" vertical="center"/>
    </xf>
    <xf numFmtId="49" fontId="19" fillId="0" borderId="1" xfId="0" applyNumberFormat="1" applyFont="1" applyBorder="1" applyAlignment="1">
      <alignment horizontal="right" vertical="center"/>
    </xf>
    <xf numFmtId="0" fontId="19" fillId="0" borderId="0" xfId="0" applyFont="1" applyAlignment="1">
      <alignment horizontal="right" vertical="center"/>
    </xf>
    <xf numFmtId="0" fontId="19" fillId="0" borderId="4" xfId="0" applyFont="1" applyBorder="1" applyAlignment="1">
      <alignment vertical="center"/>
    </xf>
    <xf numFmtId="0" fontId="19" fillId="0" borderId="0" xfId="0" quotePrefix="1" applyFont="1" applyAlignment="1">
      <alignment vertical="center"/>
    </xf>
    <xf numFmtId="0" fontId="19" fillId="0" borderId="4" xfId="0" applyFont="1" applyBorder="1" applyAlignment="1">
      <alignment horizontal="left" vertical="center"/>
    </xf>
    <xf numFmtId="0" fontId="19" fillId="0" borderId="4" xfId="0" quotePrefix="1" applyFont="1" applyBorder="1" applyAlignment="1">
      <alignment vertical="center"/>
    </xf>
    <xf numFmtId="0" fontId="24" fillId="2" borderId="20" xfId="0" applyFont="1" applyFill="1" applyBorder="1" applyAlignment="1">
      <alignment horizontal="center" vertical="center"/>
    </xf>
    <xf numFmtId="167" fontId="19" fillId="3" borderId="10" xfId="1" applyNumberFormat="1" applyFont="1" applyFill="1" applyBorder="1" applyAlignment="1">
      <alignment horizontal="center" vertical="center"/>
    </xf>
    <xf numFmtId="0" fontId="19" fillId="3" borderId="0" xfId="0" applyFont="1" applyFill="1" applyAlignment="1">
      <alignment vertical="center"/>
    </xf>
    <xf numFmtId="0" fontId="22" fillId="3" borderId="0" xfId="0" applyFont="1" applyFill="1" applyAlignment="1">
      <alignment vertical="center"/>
    </xf>
    <xf numFmtId="165" fontId="20" fillId="0" borderId="4" xfId="1" applyNumberFormat="1" applyFont="1" applyFill="1" applyBorder="1" applyAlignment="1">
      <alignment vertical="center"/>
    </xf>
    <xf numFmtId="165" fontId="20" fillId="0" borderId="12" xfId="1" applyNumberFormat="1" applyFont="1" applyFill="1" applyBorder="1" applyAlignment="1">
      <alignment vertical="center"/>
    </xf>
    <xf numFmtId="165" fontId="17" fillId="0" borderId="10" xfId="1" applyNumberFormat="1" applyFont="1" applyFill="1" applyBorder="1" applyAlignment="1">
      <alignment horizontal="left" vertical="center"/>
    </xf>
    <xf numFmtId="167" fontId="19" fillId="0" borderId="10" xfId="1" applyNumberFormat="1" applyFont="1" applyBorder="1" applyAlignment="1">
      <alignment horizontal="center" vertical="center"/>
    </xf>
    <xf numFmtId="165" fontId="19" fillId="0" borderId="10" xfId="1" applyNumberFormat="1" applyFont="1" applyBorder="1" applyAlignment="1">
      <alignment vertical="center"/>
    </xf>
    <xf numFmtId="0" fontId="19" fillId="0" borderId="10" xfId="0" applyFont="1" applyBorder="1" applyAlignment="1">
      <alignment vertical="center"/>
    </xf>
    <xf numFmtId="0" fontId="25" fillId="0" borderId="1" xfId="0" applyFont="1" applyBorder="1" applyAlignment="1">
      <alignment vertical="center" wrapText="1"/>
    </xf>
    <xf numFmtId="164" fontId="19" fillId="0" borderId="1" xfId="1" applyNumberFormat="1" applyFont="1" applyBorder="1" applyAlignment="1">
      <alignment vertical="center"/>
    </xf>
    <xf numFmtId="0" fontId="18" fillId="0" borderId="1" xfId="0" applyFont="1" applyBorder="1" applyAlignment="1">
      <alignment vertical="center" wrapText="1"/>
    </xf>
    <xf numFmtId="164" fontId="17" fillId="0" borderId="1" xfId="1" applyNumberFormat="1" applyFont="1" applyBorder="1" applyAlignment="1">
      <alignment vertical="center"/>
    </xf>
    <xf numFmtId="166" fontId="22" fillId="0" borderId="0" xfId="0" applyNumberFormat="1" applyFont="1" applyAlignment="1">
      <alignment vertical="center"/>
    </xf>
    <xf numFmtId="9" fontId="18" fillId="0" borderId="1" xfId="2" applyFont="1" applyBorder="1" applyAlignment="1">
      <alignment horizontal="center" vertical="center" wrapText="1"/>
    </xf>
    <xf numFmtId="165" fontId="17" fillId="3" borderId="11" xfId="1" applyNumberFormat="1" applyFont="1" applyFill="1" applyBorder="1" applyAlignment="1">
      <alignment horizontal="left" vertical="center"/>
    </xf>
    <xf numFmtId="165" fontId="19" fillId="3" borderId="10" xfId="1" applyNumberFormat="1" applyFont="1" applyFill="1" applyBorder="1" applyAlignment="1">
      <alignment vertical="center"/>
    </xf>
    <xf numFmtId="167" fontId="19" fillId="3" borderId="24" xfId="1" applyNumberFormat="1" applyFont="1" applyFill="1" applyBorder="1" applyAlignment="1">
      <alignment horizontal="center" vertical="center"/>
    </xf>
    <xf numFmtId="165" fontId="19" fillId="3" borderId="24" xfId="1" applyNumberFormat="1" applyFont="1" applyFill="1" applyBorder="1" applyAlignment="1">
      <alignment vertical="center"/>
    </xf>
    <xf numFmtId="167" fontId="19" fillId="3" borderId="27" xfId="1" applyNumberFormat="1" applyFont="1" applyFill="1" applyBorder="1" applyAlignment="1">
      <alignment horizontal="center" vertical="center"/>
    </xf>
    <xf numFmtId="165" fontId="19" fillId="3" borderId="27" xfId="1" applyNumberFormat="1" applyFont="1" applyFill="1" applyBorder="1" applyAlignment="1">
      <alignment vertical="center"/>
    </xf>
    <xf numFmtId="164" fontId="19" fillId="3" borderId="10" xfId="1" applyNumberFormat="1" applyFont="1" applyFill="1" applyBorder="1" applyAlignment="1">
      <alignment horizontal="right" vertical="center"/>
    </xf>
    <xf numFmtId="165" fontId="19" fillId="3" borderId="10" xfId="1" applyNumberFormat="1" applyFont="1" applyFill="1" applyBorder="1" applyAlignment="1">
      <alignment horizontal="center" vertical="center"/>
    </xf>
    <xf numFmtId="167" fontId="19" fillId="3" borderId="27" xfId="1" applyNumberFormat="1" applyFont="1" applyFill="1" applyBorder="1" applyAlignment="1">
      <alignment horizontal="center" vertical="center"/>
    </xf>
    <xf numFmtId="167" fontId="19" fillId="3" borderId="10" xfId="1" applyNumberFormat="1" applyFont="1" applyFill="1" applyBorder="1" applyAlignment="1">
      <alignment horizontal="center" vertical="center"/>
    </xf>
    <xf numFmtId="165" fontId="17" fillId="3" borderId="27" xfId="1" applyNumberFormat="1" applyFont="1" applyFill="1" applyBorder="1" applyAlignment="1">
      <alignment horizontal="center" vertical="center" wrapText="1"/>
    </xf>
    <xf numFmtId="165" fontId="17" fillId="3" borderId="10" xfId="1" applyNumberFormat="1" applyFont="1" applyFill="1" applyBorder="1" applyAlignment="1">
      <alignment horizontal="center" vertical="center" wrapText="1"/>
    </xf>
    <xf numFmtId="165" fontId="19" fillId="3" borderId="11" xfId="1" applyNumberFormat="1" applyFont="1" applyFill="1" applyBorder="1" applyAlignment="1">
      <alignment horizontal="center" vertical="center" wrapText="1"/>
    </xf>
    <xf numFmtId="165" fontId="19" fillId="3" borderId="12" xfId="1" applyNumberFormat="1" applyFont="1" applyFill="1" applyBorder="1" applyAlignment="1">
      <alignment horizontal="center" vertical="center" wrapText="1"/>
    </xf>
    <xf numFmtId="165" fontId="19" fillId="3" borderId="24" xfId="1" applyNumberFormat="1" applyFont="1" applyFill="1" applyBorder="1" applyAlignment="1">
      <alignment horizontal="center" vertical="center"/>
    </xf>
    <xf numFmtId="164" fontId="19" fillId="3" borderId="24" xfId="1" applyNumberFormat="1" applyFont="1" applyFill="1" applyBorder="1" applyAlignment="1">
      <alignment horizontal="right" vertical="center"/>
    </xf>
    <xf numFmtId="165" fontId="19" fillId="3" borderId="25" xfId="1" applyNumberFormat="1" applyFont="1" applyFill="1" applyBorder="1" applyAlignment="1">
      <alignment horizontal="center" vertical="center" wrapText="1"/>
    </xf>
    <xf numFmtId="165" fontId="19" fillId="3" borderId="26" xfId="1" applyNumberFormat="1" applyFont="1" applyFill="1" applyBorder="1" applyAlignment="1">
      <alignment horizontal="center" vertical="center" wrapText="1"/>
    </xf>
    <xf numFmtId="165" fontId="17" fillId="3" borderId="24" xfId="1" applyNumberFormat="1" applyFont="1" applyFill="1" applyBorder="1" applyAlignment="1">
      <alignment horizontal="center" vertical="center" wrapText="1"/>
    </xf>
    <xf numFmtId="167" fontId="19" fillId="3" borderId="24" xfId="1" applyNumberFormat="1" applyFont="1" applyFill="1" applyBorder="1" applyAlignment="1">
      <alignment horizontal="center" vertical="center"/>
    </xf>
    <xf numFmtId="164" fontId="19" fillId="3" borderId="10" xfId="1" applyNumberFormat="1" applyFont="1" applyFill="1" applyBorder="1" applyAlignment="1">
      <alignment horizontal="center" vertical="center"/>
    </xf>
    <xf numFmtId="164" fontId="19" fillId="3" borderId="24" xfId="1" applyNumberFormat="1" applyFont="1" applyFill="1" applyBorder="1" applyAlignment="1">
      <alignment horizontal="center" vertical="center"/>
    </xf>
    <xf numFmtId="165" fontId="19" fillId="3" borderId="28" xfId="1" applyNumberFormat="1" applyFont="1" applyFill="1" applyBorder="1" applyAlignment="1">
      <alignment horizontal="center" vertical="center" wrapText="1"/>
    </xf>
    <xf numFmtId="165" fontId="19" fillId="3" borderId="29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left" vertical="center"/>
    </xf>
    <xf numFmtId="0" fontId="22" fillId="0" borderId="0" xfId="0" applyFont="1" applyAlignment="1">
      <alignment vertical="center"/>
    </xf>
    <xf numFmtId="0" fontId="17" fillId="0" borderId="0" xfId="0" applyFont="1" applyAlignment="1">
      <alignment horizontal="left" vertical="center"/>
    </xf>
    <xf numFmtId="0" fontId="18" fillId="0" borderId="5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4" fillId="2" borderId="8" xfId="0" applyFont="1" applyFill="1" applyBorder="1" applyAlignment="1">
      <alignment horizontal="center" vertical="center"/>
    </xf>
    <xf numFmtId="0" fontId="24" fillId="2" borderId="9" xfId="0" applyFont="1" applyFill="1" applyBorder="1" applyAlignment="1">
      <alignment horizontal="center" vertical="center"/>
    </xf>
    <xf numFmtId="0" fontId="24" fillId="2" borderId="2" xfId="0" applyFont="1" applyFill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24" fillId="2" borderId="21" xfId="0" applyFont="1" applyFill="1" applyBorder="1" applyAlignment="1">
      <alignment horizontal="center" vertical="center"/>
    </xf>
    <xf numFmtId="0" fontId="24" fillId="2" borderId="19" xfId="0" applyFont="1" applyFill="1" applyBorder="1" applyAlignment="1">
      <alignment horizontal="center" vertical="center"/>
    </xf>
    <xf numFmtId="0" fontId="24" fillId="2" borderId="22" xfId="0" applyFont="1" applyFill="1" applyBorder="1" applyAlignment="1">
      <alignment horizontal="center" vertical="center"/>
    </xf>
    <xf numFmtId="0" fontId="24" fillId="2" borderId="15" xfId="0" applyFont="1" applyFill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166" fontId="24" fillId="2" borderId="19" xfId="0" applyNumberFormat="1" applyFont="1" applyFill="1" applyBorder="1" applyAlignment="1">
      <alignment horizontal="center" vertical="center"/>
    </xf>
    <xf numFmtId="0" fontId="24" fillId="2" borderId="17" xfId="0" applyFont="1" applyFill="1" applyBorder="1" applyAlignment="1">
      <alignment horizontal="center" vertical="center"/>
    </xf>
    <xf numFmtId="0" fontId="19" fillId="0" borderId="5" xfId="0" applyFont="1" applyBorder="1" applyAlignment="1">
      <alignment horizontal="center" vertical="center" wrapText="1"/>
    </xf>
    <xf numFmtId="0" fontId="25" fillId="0" borderId="6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25" fillId="0" borderId="5" xfId="0" applyFont="1" applyBorder="1" applyAlignment="1">
      <alignment vertical="center" wrapText="1"/>
    </xf>
    <xf numFmtId="0" fontId="25" fillId="0" borderId="7" xfId="0" applyFont="1" applyBorder="1" applyAlignment="1">
      <alignment vertical="center" wrapText="1"/>
    </xf>
    <xf numFmtId="0" fontId="25" fillId="0" borderId="6" xfId="0" applyFont="1" applyBorder="1" applyAlignment="1">
      <alignment vertical="center" wrapText="1"/>
    </xf>
    <xf numFmtId="0" fontId="19" fillId="0" borderId="10" xfId="0" applyFont="1" applyBorder="1" applyAlignment="1">
      <alignment horizontal="left" vertical="center"/>
    </xf>
    <xf numFmtId="165" fontId="19" fillId="0" borderId="10" xfId="1" applyNumberFormat="1" applyFont="1" applyBorder="1" applyAlignment="1">
      <alignment horizontal="center" vertical="center"/>
    </xf>
    <xf numFmtId="0" fontId="24" fillId="2" borderId="10" xfId="0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165" fontId="19" fillId="0" borderId="10" xfId="1" applyNumberFormat="1" applyFont="1" applyFill="1" applyBorder="1" applyAlignment="1">
      <alignment horizontal="left" vertical="center"/>
    </xf>
    <xf numFmtId="164" fontId="19" fillId="0" borderId="10" xfId="1" applyNumberFormat="1" applyFont="1" applyBorder="1" applyAlignment="1">
      <alignment horizontal="center" vertical="center"/>
    </xf>
    <xf numFmtId="165" fontId="16" fillId="0" borderId="11" xfId="1" applyNumberFormat="1" applyFont="1" applyFill="1" applyBorder="1" applyAlignment="1">
      <alignment horizontal="center" vertical="center"/>
    </xf>
    <xf numFmtId="165" fontId="16" fillId="0" borderId="12" xfId="1" applyNumberFormat="1" applyFont="1" applyFill="1" applyBorder="1" applyAlignment="1">
      <alignment horizontal="center" vertical="center"/>
    </xf>
    <xf numFmtId="165" fontId="20" fillId="0" borderId="11" xfId="1" applyNumberFormat="1" applyFont="1" applyFill="1" applyBorder="1" applyAlignment="1">
      <alignment horizontal="center" vertical="center"/>
    </xf>
    <xf numFmtId="165" fontId="20" fillId="0" borderId="12" xfId="1" applyNumberFormat="1" applyFont="1" applyFill="1" applyBorder="1" applyAlignment="1">
      <alignment horizontal="center" vertical="center"/>
    </xf>
    <xf numFmtId="165" fontId="17" fillId="0" borderId="10" xfId="1" applyNumberFormat="1" applyFont="1" applyFill="1" applyBorder="1" applyAlignment="1">
      <alignment horizontal="center" vertical="center"/>
    </xf>
    <xf numFmtId="0" fontId="20" fillId="0" borderId="4" xfId="0" applyFont="1" applyBorder="1" applyAlignment="1">
      <alignment horizontal="left" vertical="center"/>
    </xf>
    <xf numFmtId="0" fontId="24" fillId="2" borderId="20" xfId="0" applyFont="1" applyFill="1" applyBorder="1" applyAlignment="1">
      <alignment horizontal="center" vertical="center"/>
    </xf>
    <xf numFmtId="0" fontId="26" fillId="0" borderId="0" xfId="0" applyFont="1" applyAlignment="1">
      <alignment horizontal="right" vertical="center"/>
    </xf>
    <xf numFmtId="0" fontId="24" fillId="2" borderId="4" xfId="0" applyFont="1" applyFill="1" applyBorder="1" applyAlignment="1">
      <alignment horizontal="center" vertical="center"/>
    </xf>
    <xf numFmtId="0" fontId="19" fillId="0" borderId="0" xfId="0" applyFont="1" applyAlignment="1">
      <alignment horizontal="left" vertical="center" wrapText="1"/>
    </xf>
    <xf numFmtId="0" fontId="4" fillId="0" borderId="11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164" fontId="4" fillId="0" borderId="11" xfId="1" applyNumberFormat="1" applyFont="1" applyBorder="1" applyAlignment="1">
      <alignment horizontal="center" vertical="center"/>
    </xf>
    <xf numFmtId="164" fontId="4" fillId="0" borderId="4" xfId="1" applyNumberFormat="1" applyFont="1" applyBorder="1" applyAlignment="1">
      <alignment horizontal="center" vertical="center"/>
    </xf>
    <xf numFmtId="164" fontId="4" fillId="0" borderId="12" xfId="1" applyNumberFormat="1" applyFont="1" applyBorder="1" applyAlignment="1">
      <alignment horizontal="center" vertical="center"/>
    </xf>
    <xf numFmtId="165" fontId="4" fillId="0" borderId="11" xfId="1" applyNumberFormat="1" applyFont="1" applyBorder="1" applyAlignment="1">
      <alignment horizontal="center" vertical="center"/>
    </xf>
    <xf numFmtId="165" fontId="4" fillId="0" borderId="4" xfId="1" applyNumberFormat="1" applyFont="1" applyBorder="1" applyAlignment="1">
      <alignment horizontal="center" vertical="center"/>
    </xf>
    <xf numFmtId="165" fontId="4" fillId="0" borderId="12" xfId="1" applyNumberFormat="1" applyFont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8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16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vertical="center" wrapText="1"/>
    </xf>
    <xf numFmtId="0" fontId="10" fillId="0" borderId="6" xfId="0" applyFont="1" applyBorder="1" applyAlignment="1">
      <alignment vertical="center" wrapText="1"/>
    </xf>
    <xf numFmtId="0" fontId="8" fillId="2" borderId="13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/>
    </xf>
    <xf numFmtId="0" fontId="4" fillId="0" borderId="7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8" fillId="2" borderId="2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8" fillId="2" borderId="16" xfId="0" applyFont="1" applyFill="1" applyBorder="1" applyAlignment="1">
      <alignment horizontal="center" vertical="center"/>
    </xf>
    <xf numFmtId="0" fontId="10" fillId="0" borderId="5" xfId="0" applyFont="1" applyBorder="1" applyAlignment="1">
      <alignment vertical="center" wrapText="1"/>
    </xf>
    <xf numFmtId="0" fontId="10" fillId="0" borderId="7" xfId="0" applyFont="1" applyBorder="1" applyAlignment="1">
      <alignment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8" fillId="2" borderId="15" xfId="0" applyFont="1" applyFill="1" applyBorder="1" applyAlignment="1">
      <alignment horizontal="center" vertical="center"/>
    </xf>
    <xf numFmtId="0" fontId="8" fillId="2" borderId="19" xfId="0" applyFont="1" applyFill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3" fillId="0" borderId="5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165" fontId="17" fillId="3" borderId="11" xfId="1" applyNumberFormat="1" applyFont="1" applyFill="1" applyBorder="1" applyAlignment="1">
      <alignment horizontal="left" vertical="center"/>
    </xf>
    <xf numFmtId="165" fontId="17" fillId="3" borderId="4" xfId="1" applyNumberFormat="1" applyFont="1" applyFill="1" applyBorder="1" applyAlignment="1">
      <alignment horizontal="left" vertical="center"/>
    </xf>
    <xf numFmtId="165" fontId="17" fillId="3" borderId="12" xfId="1" applyNumberFormat="1" applyFont="1" applyFill="1" applyBorder="1" applyAlignment="1">
      <alignment horizontal="left" vertical="center"/>
    </xf>
    <xf numFmtId="165" fontId="17" fillId="3" borderId="10" xfId="1" applyNumberFormat="1" applyFont="1" applyFill="1" applyBorder="1" applyAlignment="1">
      <alignment horizontal="center" vertical="center"/>
    </xf>
    <xf numFmtId="164" fontId="17" fillId="3" borderId="10" xfId="1" applyNumberFormat="1" applyFont="1" applyFill="1" applyBorder="1" applyAlignment="1">
      <alignment horizontal="center" vertical="center"/>
    </xf>
    <xf numFmtId="165" fontId="19" fillId="3" borderId="11" xfId="1" applyNumberFormat="1" applyFont="1" applyFill="1" applyBorder="1" applyAlignment="1">
      <alignment horizontal="left" vertical="center"/>
    </xf>
    <xf numFmtId="165" fontId="19" fillId="3" borderId="4" xfId="1" applyNumberFormat="1" applyFont="1" applyFill="1" applyBorder="1" applyAlignment="1">
      <alignment horizontal="left" vertical="center"/>
    </xf>
    <xf numFmtId="165" fontId="19" fillId="3" borderId="12" xfId="1" applyNumberFormat="1" applyFont="1" applyFill="1" applyBorder="1" applyAlignment="1">
      <alignment horizontal="left" vertical="center"/>
    </xf>
    <xf numFmtId="165" fontId="19" fillId="3" borderId="11" xfId="1" applyNumberFormat="1" applyFont="1" applyFill="1" applyBorder="1" applyAlignment="1">
      <alignment horizontal="center" vertical="center"/>
    </xf>
    <xf numFmtId="165" fontId="19" fillId="3" borderId="12" xfId="1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54">
    <dxf>
      <font>
        <color rgb="FF587F03"/>
      </font>
      <fill>
        <patternFill patternType="none"/>
      </fill>
    </dxf>
    <dxf>
      <font>
        <color rgb="FFB3122D"/>
      </font>
      <fill>
        <patternFill patternType="none"/>
      </fill>
    </dxf>
    <dxf>
      <fill>
        <patternFill patternType="none"/>
      </fill>
    </dxf>
    <dxf>
      <fill>
        <patternFill patternType="solid">
          <fgColor rgb="FFE6E6E6"/>
          <bgColor rgb="FFE6E6E6"/>
        </patternFill>
      </fill>
    </dxf>
    <dxf>
      <fill>
        <patternFill patternType="solid">
          <fgColor rgb="FF587F03"/>
          <bgColor rgb="FF587F03"/>
        </patternFill>
      </fill>
    </dxf>
    <dxf>
      <fill>
        <patternFill patternType="solid">
          <fgColor rgb="FFB3122D"/>
          <bgColor rgb="FFB3122D"/>
        </patternFill>
      </fill>
    </dxf>
    <dxf>
      <fill>
        <patternFill patternType="solid">
          <fgColor rgb="FFB2B2B2"/>
          <bgColor rgb="FFB2B2B2"/>
        </patternFill>
      </fill>
    </dxf>
    <dxf>
      <fill>
        <patternFill patternType="solid">
          <fgColor rgb="FFE6E6E6"/>
          <bgColor rgb="FFE6E6E6"/>
        </patternFill>
      </fill>
    </dxf>
    <dxf>
      <fill>
        <patternFill patternType="solid">
          <fgColor rgb="FF587F03"/>
          <bgColor rgb="FF587F03"/>
        </patternFill>
      </fill>
    </dxf>
    <dxf>
      <fill>
        <patternFill patternType="solid">
          <fgColor rgb="FFB3122D"/>
          <bgColor rgb="FFB3122D"/>
        </patternFill>
      </fill>
    </dxf>
    <dxf>
      <fill>
        <patternFill patternType="solid">
          <fgColor rgb="FFB2B2B2"/>
          <bgColor rgb="FFB2B2B2"/>
        </patternFill>
      </fill>
    </dxf>
    <dxf>
      <font>
        <color rgb="FF587F03"/>
      </font>
      <fill>
        <patternFill patternType="none"/>
      </fill>
    </dxf>
    <dxf>
      <font>
        <color rgb="FFB3122D"/>
      </font>
      <fill>
        <patternFill patternType="none"/>
      </fill>
    </dxf>
    <dxf>
      <fill>
        <patternFill patternType="none"/>
      </fill>
    </dxf>
    <dxf>
      <fill>
        <patternFill patternType="solid">
          <fgColor rgb="FFE6E6E6"/>
          <bgColor rgb="FFE6E6E6"/>
        </patternFill>
      </fill>
    </dxf>
    <dxf>
      <fill>
        <patternFill patternType="solid">
          <fgColor rgb="FF587F03"/>
          <bgColor rgb="FF587F03"/>
        </patternFill>
      </fill>
    </dxf>
    <dxf>
      <fill>
        <patternFill patternType="solid">
          <fgColor rgb="FFB3122D"/>
          <bgColor rgb="FFB3122D"/>
        </patternFill>
      </fill>
    </dxf>
    <dxf>
      <fill>
        <patternFill patternType="solid">
          <fgColor rgb="FFB2B2B2"/>
          <bgColor rgb="FFB2B2B2"/>
        </patternFill>
      </fill>
    </dxf>
    <dxf>
      <fill>
        <patternFill patternType="solid">
          <fgColor rgb="FFE6E6E6"/>
          <bgColor rgb="FFE6E6E6"/>
        </patternFill>
      </fill>
    </dxf>
    <dxf>
      <fill>
        <patternFill patternType="solid">
          <fgColor rgb="FF587F03"/>
          <bgColor rgb="FF587F03"/>
        </patternFill>
      </fill>
    </dxf>
    <dxf>
      <fill>
        <patternFill patternType="solid">
          <fgColor rgb="FFB3122D"/>
          <bgColor rgb="FFB3122D"/>
        </patternFill>
      </fill>
    </dxf>
    <dxf>
      <fill>
        <patternFill patternType="solid">
          <fgColor rgb="FFB2B2B2"/>
          <bgColor rgb="FFB2B2B2"/>
        </patternFill>
      </fill>
    </dxf>
    <dxf>
      <font>
        <color rgb="FF587F03"/>
      </font>
      <fill>
        <patternFill patternType="none"/>
      </fill>
    </dxf>
    <dxf>
      <font>
        <color rgb="FFB3122D"/>
      </font>
      <fill>
        <patternFill patternType="none"/>
      </fill>
    </dxf>
    <dxf>
      <fill>
        <patternFill patternType="none"/>
      </fill>
    </dxf>
    <dxf>
      <fill>
        <patternFill patternType="solid">
          <fgColor rgb="FFE6E6E6"/>
          <bgColor rgb="FFE6E6E6"/>
        </patternFill>
      </fill>
    </dxf>
    <dxf>
      <fill>
        <patternFill patternType="solid">
          <fgColor rgb="FF587F03"/>
          <bgColor rgb="FF587F03"/>
        </patternFill>
      </fill>
    </dxf>
    <dxf>
      <fill>
        <patternFill patternType="solid">
          <fgColor rgb="FFB3122D"/>
          <bgColor rgb="FFB3122D"/>
        </patternFill>
      </fill>
    </dxf>
    <dxf>
      <fill>
        <patternFill patternType="solid">
          <fgColor rgb="FFB2B2B2"/>
          <bgColor rgb="FFB2B2B2"/>
        </patternFill>
      </fill>
    </dxf>
    <dxf>
      <fill>
        <patternFill patternType="solid">
          <fgColor rgb="FFE6E6E6"/>
          <bgColor rgb="FFE6E6E6"/>
        </patternFill>
      </fill>
    </dxf>
    <dxf>
      <fill>
        <patternFill patternType="solid">
          <fgColor rgb="FF587F03"/>
          <bgColor rgb="FF587F03"/>
        </patternFill>
      </fill>
    </dxf>
    <dxf>
      <fill>
        <patternFill patternType="solid">
          <fgColor rgb="FFB3122D"/>
          <bgColor rgb="FFB3122D"/>
        </patternFill>
      </fill>
    </dxf>
    <dxf>
      <fill>
        <patternFill patternType="solid">
          <fgColor rgb="FFB2B2B2"/>
          <bgColor rgb="FFB2B2B2"/>
        </patternFill>
      </fill>
    </dxf>
    <dxf>
      <font>
        <color rgb="FF587F03"/>
      </font>
      <fill>
        <patternFill patternType="none"/>
      </fill>
    </dxf>
    <dxf>
      <font>
        <color rgb="FFB3122D"/>
      </font>
      <fill>
        <patternFill patternType="none"/>
      </fill>
    </dxf>
    <dxf>
      <fill>
        <patternFill patternType="none"/>
      </fill>
    </dxf>
    <dxf>
      <fill>
        <patternFill patternType="solid">
          <fgColor rgb="FFE6E6E6"/>
          <bgColor rgb="FFE6E6E6"/>
        </patternFill>
      </fill>
    </dxf>
    <dxf>
      <fill>
        <patternFill patternType="solid">
          <fgColor rgb="FF587F03"/>
          <bgColor rgb="FF587F03"/>
        </patternFill>
      </fill>
    </dxf>
    <dxf>
      <fill>
        <patternFill patternType="solid">
          <fgColor rgb="FFB3122D"/>
          <bgColor rgb="FFB3122D"/>
        </patternFill>
      </fill>
    </dxf>
    <dxf>
      <fill>
        <patternFill patternType="solid">
          <fgColor rgb="FFB2B2B2"/>
          <bgColor rgb="FFB2B2B2"/>
        </patternFill>
      </fill>
    </dxf>
    <dxf>
      <fill>
        <patternFill patternType="solid">
          <fgColor rgb="FFE6E6E6"/>
          <bgColor rgb="FFE6E6E6"/>
        </patternFill>
      </fill>
    </dxf>
    <dxf>
      <fill>
        <patternFill patternType="solid">
          <fgColor rgb="FF587F03"/>
          <bgColor rgb="FF587F03"/>
        </patternFill>
      </fill>
    </dxf>
    <dxf>
      <fill>
        <patternFill patternType="solid">
          <fgColor rgb="FFB3122D"/>
          <bgColor rgb="FFB3122D"/>
        </patternFill>
      </fill>
    </dxf>
    <dxf>
      <fill>
        <patternFill patternType="solid">
          <fgColor rgb="FFB2B2B2"/>
          <bgColor rgb="FFB2B2B2"/>
        </patternFill>
      </fill>
    </dxf>
    <dxf>
      <font>
        <color rgb="FF587F03"/>
      </font>
      <fill>
        <patternFill patternType="none"/>
      </fill>
    </dxf>
    <dxf>
      <font>
        <color rgb="FFB3122D"/>
      </font>
      <fill>
        <patternFill patternType="none"/>
      </fill>
    </dxf>
    <dxf>
      <fill>
        <patternFill patternType="none"/>
      </fill>
    </dxf>
    <dxf>
      <fill>
        <patternFill patternType="solid">
          <fgColor rgb="FF587F03"/>
          <bgColor rgb="FF587F03"/>
        </patternFill>
      </fill>
    </dxf>
    <dxf>
      <fill>
        <patternFill patternType="solid">
          <fgColor rgb="FFB3122D"/>
          <bgColor rgb="FFB3122D"/>
        </patternFill>
      </fill>
    </dxf>
    <dxf>
      <fill>
        <patternFill patternType="solid">
          <fgColor rgb="FFB2B2B2"/>
          <bgColor rgb="FFB2B2B2"/>
        </patternFill>
      </fill>
    </dxf>
    <dxf>
      <fill>
        <patternFill patternType="solid">
          <fgColor rgb="FFE6E6E6"/>
          <bgColor rgb="FFE6E6E6"/>
        </patternFill>
      </fill>
    </dxf>
    <dxf>
      <fill>
        <patternFill patternType="solid">
          <fgColor rgb="FF587F03"/>
          <bgColor rgb="FF587F03"/>
        </patternFill>
      </fill>
    </dxf>
    <dxf>
      <fill>
        <patternFill patternType="solid">
          <fgColor rgb="FFB3122D"/>
          <bgColor rgb="FFB3122D"/>
        </patternFill>
      </fill>
    </dxf>
    <dxf>
      <fill>
        <patternFill patternType="solid">
          <fgColor rgb="FFB2B2B2"/>
          <bgColor rgb="FFB2B2B2"/>
        </patternFill>
      </fill>
    </dxf>
  </dxfs>
  <tableStyles count="0" defaultTableStyle="TableStyleMedium2" defaultPivotStyle="PivotStyleLight16"/>
  <colors>
    <mruColors>
      <color rgb="FF002E4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266701</xdr:colOff>
      <xdr:row>0</xdr:row>
      <xdr:rowOff>30480</xdr:rowOff>
    </xdr:from>
    <xdr:to>
      <xdr:col>9</xdr:col>
      <xdr:colOff>384227</xdr:colOff>
      <xdr:row>7</xdr:row>
      <xdr:rowOff>22860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040FBD1-635C-1024-E23B-3779A156A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27521" y="30480"/>
          <a:ext cx="1230046" cy="13182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514351</xdr:colOff>
      <xdr:row>0</xdr:row>
      <xdr:rowOff>0</xdr:rowOff>
    </xdr:from>
    <xdr:to>
      <xdr:col>9</xdr:col>
      <xdr:colOff>714375</xdr:colOff>
      <xdr:row>7</xdr:row>
      <xdr:rowOff>50637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33B22C-50DC-4FE0-8431-1FC5D63D37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96151" y="0"/>
          <a:ext cx="1142999" cy="124126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514351</xdr:colOff>
      <xdr:row>0</xdr:row>
      <xdr:rowOff>0</xdr:rowOff>
    </xdr:from>
    <xdr:to>
      <xdr:col>9</xdr:col>
      <xdr:colOff>714375</xdr:colOff>
      <xdr:row>7</xdr:row>
      <xdr:rowOff>50637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17B6FC-ECAF-4983-A21A-FB5C2402FB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58076" y="0"/>
          <a:ext cx="1142999" cy="124126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514351</xdr:colOff>
      <xdr:row>0</xdr:row>
      <xdr:rowOff>0</xdr:rowOff>
    </xdr:from>
    <xdr:to>
      <xdr:col>9</xdr:col>
      <xdr:colOff>714375</xdr:colOff>
      <xdr:row>7</xdr:row>
      <xdr:rowOff>50637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105DAC8-1E8C-47EE-A0D3-5AB0A5BB07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58076" y="0"/>
          <a:ext cx="1142999" cy="124126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514351</xdr:colOff>
      <xdr:row>0</xdr:row>
      <xdr:rowOff>0</xdr:rowOff>
    </xdr:from>
    <xdr:to>
      <xdr:col>9</xdr:col>
      <xdr:colOff>714375</xdr:colOff>
      <xdr:row>7</xdr:row>
      <xdr:rowOff>50637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683E2C-AC0D-44DE-95D9-F888B0D63C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58076" y="0"/>
          <a:ext cx="1142999" cy="12412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32"/>
  <sheetViews>
    <sheetView showGridLines="0" zoomScaleNormal="100" workbookViewId="0">
      <selection activeCell="P12" sqref="P12"/>
    </sheetView>
  </sheetViews>
  <sheetFormatPr defaultColWidth="14.42578125" defaultRowHeight="15" customHeight="1" x14ac:dyDescent="0.2"/>
  <cols>
    <col min="1" max="1" width="7.5703125" style="4" customWidth="1"/>
    <col min="2" max="2" width="26.28515625" style="4" customWidth="1"/>
    <col min="3" max="3" width="15.5703125" style="4" customWidth="1"/>
    <col min="4" max="4" width="18.5703125" style="4" customWidth="1"/>
    <col min="5" max="5" width="6.5703125" style="4" customWidth="1"/>
    <col min="6" max="6" width="14.28515625" style="4" customWidth="1"/>
    <col min="7" max="7" width="3.7109375" style="4" customWidth="1"/>
    <col min="8" max="8" width="3.140625" style="4" customWidth="1"/>
    <col min="9" max="9" width="16.28515625" style="4" customWidth="1"/>
    <col min="10" max="10" width="13.28515625" style="4" customWidth="1"/>
    <col min="11" max="11" width="10.140625" style="4" customWidth="1"/>
    <col min="12" max="12" width="4.5703125" style="4" customWidth="1"/>
    <col min="13" max="13" width="16.42578125" style="4" customWidth="1"/>
    <col min="14" max="14" width="14" style="4" customWidth="1"/>
    <col min="15" max="16384" width="14.42578125" style="4"/>
  </cols>
  <sheetData>
    <row r="1" spans="1:14" ht="33.6" customHeight="1" x14ac:dyDescent="0.2">
      <c r="A1" s="1"/>
      <c r="B1" s="2"/>
      <c r="C1" s="2"/>
      <c r="D1" s="2"/>
      <c r="E1" s="2"/>
      <c r="F1" s="164" t="s">
        <v>33</v>
      </c>
      <c r="G1" s="164"/>
      <c r="H1" s="164"/>
      <c r="I1" s="164"/>
      <c r="J1" s="164"/>
      <c r="K1" s="164"/>
      <c r="L1" s="164"/>
      <c r="M1" s="164"/>
      <c r="N1" s="3"/>
    </row>
    <row r="2" spans="1:14" ht="15" customHeight="1" x14ac:dyDescent="0.2">
      <c r="A2" s="3"/>
      <c r="B2" s="3"/>
      <c r="C2" s="3"/>
      <c r="D2" s="5"/>
      <c r="E2" s="3"/>
      <c r="F2" s="3"/>
      <c r="G2" s="3"/>
      <c r="H2" s="3"/>
      <c r="I2" s="3"/>
      <c r="J2" s="3"/>
      <c r="K2" s="3" t="s">
        <v>0</v>
      </c>
      <c r="L2" s="3"/>
      <c r="M2" s="6">
        <v>46104</v>
      </c>
      <c r="N2" s="3"/>
    </row>
    <row r="3" spans="1:14" ht="15" customHeight="1" x14ac:dyDescent="0.2">
      <c r="A3" s="3"/>
      <c r="B3" s="3"/>
      <c r="C3" s="3"/>
      <c r="D3" s="3"/>
      <c r="E3" s="3"/>
      <c r="F3" s="3"/>
      <c r="G3" s="3"/>
      <c r="H3" s="3"/>
      <c r="I3" s="3"/>
      <c r="J3" s="3"/>
      <c r="K3" s="3" t="s">
        <v>1</v>
      </c>
      <c r="L3" s="3"/>
      <c r="M3" s="7" t="s">
        <v>37</v>
      </c>
      <c r="N3" s="3"/>
    </row>
    <row r="4" spans="1:14" ht="15" customHeight="1" x14ac:dyDescent="0.2">
      <c r="A4" s="3"/>
      <c r="B4" s="3"/>
      <c r="C4" s="3"/>
      <c r="D4" s="3"/>
      <c r="E4" s="3"/>
      <c r="F4" s="3"/>
      <c r="G4" s="3"/>
      <c r="H4" s="3"/>
      <c r="I4" s="3"/>
      <c r="J4" s="3"/>
      <c r="K4" s="3" t="s">
        <v>2</v>
      </c>
      <c r="L4" s="3"/>
      <c r="M4" s="8" t="s">
        <v>11</v>
      </c>
      <c r="N4" s="3"/>
    </row>
    <row r="5" spans="1:14" ht="15" customHeight="1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 t="s">
        <v>31</v>
      </c>
      <c r="L5" s="3"/>
      <c r="M5" s="8"/>
      <c r="N5" s="3"/>
    </row>
    <row r="6" spans="1:14" ht="10.9" customHeight="1" x14ac:dyDescent="0.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9"/>
      <c r="N6" s="3"/>
    </row>
    <row r="7" spans="1:14" ht="15" hidden="1" customHeight="1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9"/>
      <c r="N7" s="3"/>
    </row>
    <row r="8" spans="1:14" ht="15" customHeight="1" x14ac:dyDescent="0.2">
      <c r="A8" s="144" t="s">
        <v>25</v>
      </c>
      <c r="B8" s="132"/>
      <c r="C8" s="132"/>
      <c r="D8" s="132"/>
      <c r="E8" s="3"/>
      <c r="F8" s="132" t="s">
        <v>34</v>
      </c>
      <c r="G8" s="132"/>
      <c r="H8" s="132"/>
      <c r="I8" s="132"/>
      <c r="J8" s="132"/>
      <c r="K8" s="132"/>
      <c r="L8" s="132"/>
      <c r="M8" s="9"/>
      <c r="N8" s="3"/>
    </row>
    <row r="9" spans="1:14" ht="15" customHeight="1" x14ac:dyDescent="0.2">
      <c r="A9" s="3" t="s">
        <v>21</v>
      </c>
      <c r="B9" s="3"/>
      <c r="C9" s="3"/>
      <c r="D9" s="3"/>
      <c r="E9" s="3"/>
      <c r="F9" s="23" t="s">
        <v>22</v>
      </c>
      <c r="G9" s="23"/>
      <c r="H9" s="23"/>
      <c r="I9" s="23"/>
      <c r="J9" s="23"/>
      <c r="K9" s="23"/>
      <c r="L9" s="23"/>
      <c r="M9" s="23"/>
      <c r="N9" s="10"/>
    </row>
    <row r="10" spans="1:14" ht="15" customHeight="1" x14ac:dyDescent="0.2">
      <c r="A10" s="165" t="s">
        <v>38</v>
      </c>
      <c r="B10" s="160"/>
      <c r="C10" s="160"/>
      <c r="D10" s="160"/>
      <c r="E10" s="160"/>
      <c r="F10" s="23" t="s">
        <v>35</v>
      </c>
      <c r="G10" s="23"/>
      <c r="H10" s="23"/>
      <c r="I10" s="23"/>
      <c r="J10" s="23"/>
      <c r="K10" s="23"/>
      <c r="L10" s="23"/>
      <c r="M10" s="23"/>
      <c r="N10" s="10"/>
    </row>
    <row r="11" spans="1:14" ht="15" customHeight="1" x14ac:dyDescent="0.2">
      <c r="A11" s="166" t="s">
        <v>39</v>
      </c>
      <c r="B11" s="166"/>
      <c r="C11" s="166"/>
      <c r="D11" s="166"/>
      <c r="E11" s="166"/>
      <c r="F11" s="23" t="s">
        <v>36</v>
      </c>
      <c r="G11" s="23"/>
      <c r="H11" s="23"/>
      <c r="I11" s="23"/>
      <c r="J11" s="23"/>
      <c r="K11" s="23"/>
      <c r="L11" s="23"/>
      <c r="M11" s="23"/>
      <c r="N11" s="10"/>
    </row>
    <row r="12" spans="1:14" ht="15" customHeight="1" x14ac:dyDescent="0.2">
      <c r="A12" s="160" t="s">
        <v>40</v>
      </c>
      <c r="B12" s="160"/>
      <c r="C12" s="160"/>
      <c r="D12" s="21"/>
      <c r="E12" s="21"/>
      <c r="F12" s="3" t="s">
        <v>13</v>
      </c>
      <c r="G12" s="3"/>
      <c r="H12" s="3"/>
      <c r="K12" s="17"/>
      <c r="L12" s="17"/>
      <c r="M12" s="17"/>
      <c r="N12" s="10"/>
    </row>
    <row r="13" spans="1:14" ht="15" customHeight="1" x14ac:dyDescent="0.2">
      <c r="A13" s="3" t="s">
        <v>27</v>
      </c>
      <c r="B13" s="3"/>
      <c r="C13" s="3"/>
      <c r="D13" s="3"/>
      <c r="E13" s="3"/>
      <c r="F13" s="23" t="s">
        <v>18</v>
      </c>
      <c r="G13" s="23"/>
      <c r="H13" s="23"/>
      <c r="I13" s="23"/>
      <c r="J13" s="23"/>
      <c r="K13" s="23"/>
      <c r="L13" s="23"/>
      <c r="M13" s="23"/>
      <c r="N13" s="10"/>
    </row>
    <row r="14" spans="1:14" ht="15" customHeight="1" x14ac:dyDescent="0.2">
      <c r="A14" s="3" t="s">
        <v>28</v>
      </c>
      <c r="B14" s="3"/>
      <c r="C14" s="3"/>
      <c r="D14" s="3"/>
      <c r="E14" s="3"/>
      <c r="F14" s="23" t="s">
        <v>14</v>
      </c>
      <c r="G14" s="23"/>
      <c r="H14" s="23"/>
      <c r="I14" s="23"/>
      <c r="J14" s="23"/>
      <c r="K14" s="23"/>
      <c r="L14" s="23"/>
      <c r="M14" s="23"/>
      <c r="N14" s="10"/>
    </row>
    <row r="15" spans="1:14" ht="15" customHeight="1" x14ac:dyDescent="0.2">
      <c r="A15" s="3"/>
      <c r="B15" s="3"/>
      <c r="C15" s="3"/>
      <c r="D15" s="3"/>
      <c r="E15" s="3"/>
      <c r="F15" s="136" t="s">
        <v>29</v>
      </c>
      <c r="G15" s="136"/>
      <c r="H15" s="136"/>
      <c r="I15" s="136"/>
      <c r="J15" s="136"/>
      <c r="K15" s="136"/>
      <c r="L15" s="136"/>
      <c r="M15" s="136"/>
      <c r="N15" s="3"/>
    </row>
    <row r="16" spans="1:14" ht="15" customHeight="1" x14ac:dyDescent="0.2">
      <c r="A16" s="19" t="s">
        <v>3</v>
      </c>
      <c r="B16" s="132" t="s">
        <v>4</v>
      </c>
      <c r="C16" s="132"/>
      <c r="D16" s="132"/>
      <c r="E16" s="132"/>
      <c r="F16" s="132"/>
      <c r="G16" s="18"/>
      <c r="H16" s="18"/>
      <c r="I16" s="18" t="s">
        <v>5</v>
      </c>
      <c r="J16" s="20" t="s">
        <v>6</v>
      </c>
      <c r="K16" s="133" t="s">
        <v>7</v>
      </c>
      <c r="L16" s="134"/>
      <c r="M16" s="135"/>
      <c r="N16" s="3"/>
    </row>
    <row r="17" spans="1:14" ht="15.6" customHeight="1" x14ac:dyDescent="0.2">
      <c r="A17" s="11">
        <v>1</v>
      </c>
      <c r="B17" s="123" t="s">
        <v>41</v>
      </c>
      <c r="C17" s="124"/>
      <c r="D17" s="124"/>
      <c r="E17" s="124"/>
      <c r="F17" s="124"/>
      <c r="G17" s="124"/>
      <c r="H17" s="125"/>
      <c r="I17" s="12">
        <v>84</v>
      </c>
      <c r="J17" s="12">
        <v>1600000</v>
      </c>
      <c r="K17" s="126">
        <f t="shared" ref="K17" si="0">IF(OR(ISBLANK(I17),ISBLANK(J17)),0,I17*J17)</f>
        <v>134400000</v>
      </c>
      <c r="L17" s="127"/>
      <c r="M17" s="128"/>
      <c r="N17" s="3"/>
    </row>
    <row r="18" spans="1:14" ht="15" customHeight="1" x14ac:dyDescent="0.2">
      <c r="A18" s="11">
        <v>2</v>
      </c>
      <c r="B18" s="123"/>
      <c r="C18" s="124"/>
      <c r="D18" s="124"/>
      <c r="E18" s="124"/>
      <c r="F18" s="124"/>
      <c r="G18" s="124"/>
      <c r="H18" s="125"/>
      <c r="I18" s="12"/>
      <c r="J18" s="12"/>
      <c r="K18" s="126">
        <f t="shared" ref="K18" si="1">IF(OR(ISBLANK(I18),ISBLANK(J18)),0,I18*J18)</f>
        <v>0</v>
      </c>
      <c r="L18" s="127"/>
      <c r="M18" s="128"/>
      <c r="N18" s="3"/>
    </row>
    <row r="19" spans="1:14" ht="15" hidden="1" customHeight="1" x14ac:dyDescent="0.2">
      <c r="A19" s="11"/>
      <c r="B19" s="123"/>
      <c r="C19" s="124"/>
      <c r="D19" s="124"/>
      <c r="E19" s="124"/>
      <c r="F19" s="124"/>
      <c r="G19" s="124"/>
      <c r="H19" s="125"/>
      <c r="I19" s="12"/>
      <c r="J19" s="12"/>
      <c r="K19" s="126"/>
      <c r="L19" s="127"/>
      <c r="M19" s="128"/>
      <c r="N19" s="3"/>
    </row>
    <row r="20" spans="1:14" ht="15" hidden="1" customHeight="1" x14ac:dyDescent="0.2">
      <c r="A20" s="11"/>
      <c r="B20" s="123"/>
      <c r="C20" s="124"/>
      <c r="D20" s="124"/>
      <c r="E20" s="124"/>
      <c r="F20" s="124"/>
      <c r="G20" s="124"/>
      <c r="H20" s="125"/>
      <c r="I20" s="12"/>
      <c r="J20" s="12">
        <v>0</v>
      </c>
      <c r="K20" s="126">
        <f t="shared" ref="K20:K22" si="2">IF(OR(ISBLANK(I20),ISBLANK(J20)),0,I20*J20)</f>
        <v>0</v>
      </c>
      <c r="L20" s="127"/>
      <c r="M20" s="128"/>
      <c r="N20" s="3"/>
    </row>
    <row r="21" spans="1:14" ht="15" hidden="1" customHeight="1" x14ac:dyDescent="0.2">
      <c r="A21" s="11"/>
      <c r="B21" s="123"/>
      <c r="C21" s="124"/>
      <c r="D21" s="124"/>
      <c r="E21" s="124"/>
      <c r="F21" s="124"/>
      <c r="G21" s="124"/>
      <c r="H21" s="125"/>
      <c r="I21" s="12"/>
      <c r="J21" s="12">
        <v>0</v>
      </c>
      <c r="K21" s="129">
        <f t="shared" si="2"/>
        <v>0</v>
      </c>
      <c r="L21" s="130"/>
      <c r="M21" s="131"/>
      <c r="N21" s="3"/>
    </row>
    <row r="22" spans="1:14" ht="15" hidden="1" customHeight="1" x14ac:dyDescent="0.2">
      <c r="A22" s="11"/>
      <c r="B22" s="123"/>
      <c r="C22" s="124"/>
      <c r="D22" s="124"/>
      <c r="E22" s="124"/>
      <c r="F22" s="124"/>
      <c r="G22" s="124"/>
      <c r="H22" s="125"/>
      <c r="I22" s="12"/>
      <c r="J22" s="12">
        <v>0</v>
      </c>
      <c r="K22" s="129">
        <f t="shared" si="2"/>
        <v>0</v>
      </c>
      <c r="L22" s="130"/>
      <c r="M22" s="131"/>
      <c r="N22" s="3"/>
    </row>
    <row r="23" spans="1:14" ht="15" customHeight="1" x14ac:dyDescent="0.2">
      <c r="A23" s="156" t="s">
        <v>12</v>
      </c>
      <c r="B23" s="132"/>
      <c r="C23" s="132"/>
      <c r="D23" s="132"/>
      <c r="E23" s="132"/>
      <c r="F23" s="132"/>
      <c r="G23" s="132"/>
      <c r="H23" s="132"/>
      <c r="I23" s="132"/>
      <c r="J23" s="132"/>
      <c r="K23" s="13" t="s">
        <v>8</v>
      </c>
      <c r="L23" s="13"/>
      <c r="M23" s="14">
        <f>SUM(K17:K22)</f>
        <v>134400000</v>
      </c>
      <c r="N23" s="3"/>
    </row>
    <row r="24" spans="1:14" ht="15" customHeight="1" x14ac:dyDescent="0.2">
      <c r="A24" s="154"/>
      <c r="B24" s="155"/>
      <c r="C24" s="155"/>
      <c r="D24" s="155"/>
      <c r="E24" s="155"/>
      <c r="F24" s="155"/>
      <c r="G24" s="155"/>
      <c r="H24" s="155"/>
      <c r="I24" s="155"/>
      <c r="J24" s="155"/>
      <c r="K24" s="13" t="s">
        <v>9</v>
      </c>
      <c r="L24" s="13"/>
      <c r="M24" s="14">
        <v>0</v>
      </c>
      <c r="N24" s="3"/>
    </row>
    <row r="25" spans="1:14" ht="15" customHeight="1" x14ac:dyDescent="0.2">
      <c r="A25" s="154"/>
      <c r="B25" s="155"/>
      <c r="C25" s="155"/>
      <c r="D25" s="155"/>
      <c r="E25" s="155"/>
      <c r="F25" s="155"/>
      <c r="G25" s="155"/>
      <c r="H25" s="155"/>
      <c r="I25" s="155"/>
      <c r="J25" s="155"/>
      <c r="K25" s="13" t="s">
        <v>32</v>
      </c>
      <c r="L25" s="22">
        <v>0.1</v>
      </c>
      <c r="M25" s="14">
        <f>M23*L25</f>
        <v>13440000</v>
      </c>
      <c r="N25" s="3"/>
    </row>
    <row r="26" spans="1:14" ht="15" customHeight="1" x14ac:dyDescent="0.2">
      <c r="A26" s="154"/>
      <c r="B26" s="155"/>
      <c r="C26" s="155"/>
      <c r="D26" s="155"/>
      <c r="E26" s="155"/>
      <c r="F26" s="155"/>
      <c r="G26" s="155"/>
      <c r="H26" s="155"/>
      <c r="I26" s="155"/>
      <c r="J26" s="155"/>
      <c r="K26" s="15" t="s">
        <v>10</v>
      </c>
      <c r="L26" s="15"/>
      <c r="M26" s="16">
        <f>SUM(M23:M25)</f>
        <v>147840000</v>
      </c>
      <c r="N26" s="3"/>
    </row>
    <row r="27" spans="1:14" ht="12" customHeight="1" x14ac:dyDescent="0.2">
      <c r="A27" s="144" t="s">
        <v>15</v>
      </c>
      <c r="B27" s="145"/>
      <c r="C27" s="139" t="s">
        <v>16</v>
      </c>
      <c r="D27" s="140"/>
      <c r="E27" s="141"/>
      <c r="F27" s="151" t="s">
        <v>17</v>
      </c>
      <c r="G27" s="152"/>
      <c r="H27" s="152"/>
      <c r="I27" s="153"/>
      <c r="J27" s="140" t="s">
        <v>19</v>
      </c>
      <c r="K27" s="140"/>
      <c r="L27" s="140"/>
      <c r="M27" s="146"/>
      <c r="N27" s="3"/>
    </row>
    <row r="28" spans="1:14" ht="43.9" customHeight="1" x14ac:dyDescent="0.2">
      <c r="A28" s="137" t="s">
        <v>26</v>
      </c>
      <c r="B28" s="138"/>
      <c r="C28" s="137" t="s">
        <v>20</v>
      </c>
      <c r="D28" s="142"/>
      <c r="E28" s="143"/>
      <c r="F28" s="149" t="s">
        <v>20</v>
      </c>
      <c r="G28" s="150"/>
      <c r="H28" s="150"/>
      <c r="I28" s="150"/>
      <c r="J28" s="147" t="s">
        <v>30</v>
      </c>
      <c r="K28" s="148"/>
      <c r="L28" s="148"/>
      <c r="M28" s="138"/>
      <c r="N28" s="3"/>
    </row>
    <row r="29" spans="1:14" ht="7.5" customHeight="1" x14ac:dyDescent="0.2">
      <c r="A29" s="160"/>
      <c r="B29" s="158"/>
      <c r="C29" s="158"/>
      <c r="D29" s="3"/>
      <c r="E29" s="3"/>
      <c r="F29" s="157"/>
      <c r="G29" s="157"/>
      <c r="H29" s="157"/>
      <c r="I29" s="158"/>
      <c r="J29" s="158"/>
      <c r="K29" s="158"/>
      <c r="L29" s="158"/>
      <c r="M29" s="158"/>
      <c r="N29" s="3"/>
    </row>
    <row r="30" spans="1:14" ht="18" customHeight="1" x14ac:dyDescent="0.2">
      <c r="A30" s="161" t="s">
        <v>24</v>
      </c>
      <c r="B30" s="162"/>
      <c r="C30" s="162"/>
      <c r="D30" s="163"/>
      <c r="E30" s="3"/>
      <c r="I30" s="161" t="s">
        <v>23</v>
      </c>
      <c r="J30" s="162"/>
      <c r="K30" s="162"/>
      <c r="L30" s="162"/>
      <c r="M30" s="163"/>
      <c r="N30" s="3"/>
    </row>
    <row r="31" spans="1:14" ht="6.75" customHeight="1" x14ac:dyDescent="0.2">
      <c r="A31" s="159"/>
      <c r="B31" s="158"/>
      <c r="C31" s="158"/>
      <c r="D31" s="158"/>
      <c r="E31" s="158"/>
      <c r="F31" s="158"/>
      <c r="G31" s="158"/>
      <c r="H31" s="158"/>
      <c r="I31" s="158"/>
      <c r="J31" s="158"/>
      <c r="K31" s="158"/>
      <c r="L31" s="158"/>
      <c r="M31" s="158"/>
      <c r="N31" s="3"/>
    </row>
    <row r="32" spans="1:14" ht="18" customHeight="1" x14ac:dyDescent="0.2">
      <c r="N32" s="3"/>
    </row>
  </sheetData>
  <mergeCells count="36">
    <mergeCell ref="A12:C12"/>
    <mergeCell ref="F1:M1"/>
    <mergeCell ref="A10:E10"/>
    <mergeCell ref="A8:D8"/>
    <mergeCell ref="A11:E11"/>
    <mergeCell ref="F8:L8"/>
    <mergeCell ref="F29:M29"/>
    <mergeCell ref="A31:M31"/>
    <mergeCell ref="A29:C29"/>
    <mergeCell ref="I30:M30"/>
    <mergeCell ref="A30:D30"/>
    <mergeCell ref="K22:M22"/>
    <mergeCell ref="A28:B28"/>
    <mergeCell ref="C27:E27"/>
    <mergeCell ref="C28:E28"/>
    <mergeCell ref="A27:B27"/>
    <mergeCell ref="J27:M27"/>
    <mergeCell ref="J28:M28"/>
    <mergeCell ref="F28:I28"/>
    <mergeCell ref="F27:I27"/>
    <mergeCell ref="A24:J26"/>
    <mergeCell ref="A23:J23"/>
    <mergeCell ref="B22:H22"/>
    <mergeCell ref="B16:F16"/>
    <mergeCell ref="K16:M16"/>
    <mergeCell ref="B17:H17"/>
    <mergeCell ref="B18:H18"/>
    <mergeCell ref="F15:M15"/>
    <mergeCell ref="B20:H20"/>
    <mergeCell ref="B19:H19"/>
    <mergeCell ref="B21:H21"/>
    <mergeCell ref="K17:M17"/>
    <mergeCell ref="K18:M18"/>
    <mergeCell ref="K21:M21"/>
    <mergeCell ref="K19:M19"/>
    <mergeCell ref="K20:M20"/>
  </mergeCells>
  <conditionalFormatting sqref="A8 F8:H8 A16:B16 I16:M16 A23">
    <cfRule type="expression" dxfId="53" priority="9" stopIfTrue="1">
      <formula>IF(#REF!="No Color",TRUE,FALSE)</formula>
    </cfRule>
    <cfRule type="expression" dxfId="52" priority="10" stopIfTrue="1">
      <formula>IF(#REF!="Red",TRUE,FALSE)</formula>
    </cfRule>
    <cfRule type="expression" dxfId="51" priority="11" stopIfTrue="1">
      <formula>IF(#REF!="Green",TRUE,FALSE)</formula>
    </cfRule>
  </conditionalFormatting>
  <conditionalFormatting sqref="A17:B22 I17:M22">
    <cfRule type="expression" dxfId="50" priority="15" stopIfTrue="1">
      <formula>MOD(ROW(),2)=1</formula>
    </cfRule>
  </conditionalFormatting>
  <conditionalFormatting sqref="A27:C27 F27:J27">
    <cfRule type="expression" dxfId="49" priority="6" stopIfTrue="1">
      <formula>IF(#REF!="No Color",TRUE,FALSE)</formula>
    </cfRule>
    <cfRule type="expression" dxfId="48" priority="7" stopIfTrue="1">
      <formula>IF(#REF!="Red",TRUE,FALSE)</formula>
    </cfRule>
    <cfRule type="expression" dxfId="47" priority="8" stopIfTrue="1">
      <formula>IF(#REF!="Green",TRUE,FALSE)</formula>
    </cfRule>
  </conditionalFormatting>
  <conditionalFormatting sqref="F1:M1">
    <cfRule type="expression" dxfId="46" priority="12" stopIfTrue="1">
      <formula>IF(#REF!="No Color",TRUE,FALSE)</formula>
    </cfRule>
    <cfRule type="expression" dxfId="45" priority="13" stopIfTrue="1">
      <formula>IF(#REF!="Red",TRUE,FALSE)</formula>
    </cfRule>
    <cfRule type="expression" dxfId="44" priority="14" stopIfTrue="1">
      <formula>IF(#REF!="Green",TRUE,FALSE)</formula>
    </cfRule>
  </conditionalFormatting>
  <printOptions horizontalCentered="1"/>
  <pageMargins left="0.11811023622047245" right="0.11811023622047245" top="0.55118110236220474" bottom="0.11811023622047245" header="0" footer="0"/>
  <pageSetup scale="93" fitToWidth="0" orientation="landscape" horizontalDpi="1200" verticalDpi="1200" r:id="rId1"/>
  <headerFooter>
    <oddFooter>&amp;LGTAM JSC</oddFooter>
  </headerFooter>
  <ignoredErrors>
    <ignoredError sqref="M4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37DEF-50B9-4F84-8ED6-4D51E1FBE620}">
  <dimension ref="A1:O42"/>
  <sheetViews>
    <sheetView showGridLines="0" topLeftCell="B1" zoomScaleNormal="100" workbookViewId="0">
      <selection activeCell="A28" sqref="A28"/>
    </sheetView>
  </sheetViews>
  <sheetFormatPr defaultColWidth="14.42578125" defaultRowHeight="15" customHeight="1" x14ac:dyDescent="0.2"/>
  <cols>
    <col min="1" max="1" width="7.5703125" style="31" customWidth="1"/>
    <col min="2" max="2" width="28.5703125" style="31" customWidth="1"/>
    <col min="3" max="3" width="13.5703125" style="31" customWidth="1"/>
    <col min="4" max="4" width="16.7109375" style="31" customWidth="1"/>
    <col min="5" max="5" width="11.42578125" style="31" customWidth="1"/>
    <col min="6" max="6" width="15.85546875" style="31" customWidth="1"/>
    <col min="7" max="7" width="3.7109375" style="31" customWidth="1"/>
    <col min="8" max="8" width="6.7109375" style="31" customWidth="1"/>
    <col min="9" max="9" width="14.140625" style="31" customWidth="1"/>
    <col min="10" max="10" width="13.28515625" style="31" customWidth="1"/>
    <col min="11" max="11" width="12.42578125" style="31" customWidth="1"/>
    <col min="12" max="12" width="5.85546875" style="31" customWidth="1"/>
    <col min="13" max="13" width="16.42578125" style="31" customWidth="1"/>
    <col min="14" max="14" width="14" style="31" customWidth="1"/>
    <col min="15" max="16384" width="14.42578125" style="31"/>
  </cols>
  <sheetData>
    <row r="1" spans="1:14" ht="33.6" customHeight="1" x14ac:dyDescent="0.2">
      <c r="A1" s="28"/>
      <c r="B1" s="29"/>
      <c r="C1" s="29"/>
      <c r="D1" s="29"/>
      <c r="E1" s="29"/>
      <c r="F1" s="120" t="s">
        <v>33</v>
      </c>
      <c r="G1" s="120"/>
      <c r="H1" s="120"/>
      <c r="I1" s="120"/>
      <c r="J1" s="120"/>
      <c r="K1" s="120"/>
      <c r="L1" s="120"/>
      <c r="M1" s="120"/>
      <c r="N1" s="30"/>
    </row>
    <row r="2" spans="1:14" ht="15" customHeight="1" x14ac:dyDescent="0.2">
      <c r="A2" s="30"/>
      <c r="B2" s="30"/>
      <c r="C2" s="30"/>
      <c r="D2" s="32"/>
      <c r="E2" s="30"/>
      <c r="F2" s="30"/>
      <c r="G2" s="30"/>
      <c r="H2" s="30"/>
      <c r="I2" s="30"/>
      <c r="J2" s="30"/>
      <c r="K2" s="30" t="s">
        <v>0</v>
      </c>
      <c r="L2" s="30"/>
      <c r="M2" s="33">
        <v>46108</v>
      </c>
      <c r="N2" s="30"/>
    </row>
    <row r="3" spans="1:14" ht="15" customHeight="1" x14ac:dyDescent="0.2">
      <c r="A3" s="30"/>
      <c r="B3" s="30"/>
      <c r="C3" s="30"/>
      <c r="D3" s="30"/>
      <c r="E3" s="30"/>
      <c r="F3" s="30"/>
      <c r="G3" s="30"/>
      <c r="H3" s="30"/>
      <c r="I3" s="30"/>
      <c r="J3" s="30"/>
      <c r="K3" s="30" t="s">
        <v>1</v>
      </c>
      <c r="L3" s="30"/>
      <c r="M3" s="34" t="s">
        <v>76</v>
      </c>
      <c r="N3" s="30"/>
    </row>
    <row r="4" spans="1:14" ht="15" customHeight="1" x14ac:dyDescent="0.2">
      <c r="A4" s="30"/>
      <c r="B4" s="30"/>
      <c r="C4" s="30"/>
      <c r="D4" s="30"/>
      <c r="E4" s="30"/>
      <c r="F4" s="30"/>
      <c r="G4" s="30"/>
      <c r="H4" s="30"/>
      <c r="I4" s="30"/>
      <c r="J4" s="30"/>
      <c r="K4" s="30" t="s">
        <v>2</v>
      </c>
      <c r="L4" s="30"/>
      <c r="M4" s="35"/>
      <c r="N4" s="30"/>
    </row>
    <row r="5" spans="1:14" ht="15" customHeight="1" x14ac:dyDescent="0.2">
      <c r="A5" s="30"/>
      <c r="B5" s="30"/>
      <c r="C5" s="30"/>
      <c r="D5" s="30"/>
      <c r="E5" s="30"/>
      <c r="F5" s="30"/>
      <c r="G5" s="30"/>
      <c r="H5" s="30"/>
      <c r="I5" s="30"/>
      <c r="J5" s="30"/>
      <c r="K5" s="30" t="s">
        <v>31</v>
      </c>
      <c r="L5" s="30"/>
      <c r="M5" s="35"/>
      <c r="N5" s="30"/>
    </row>
    <row r="6" spans="1:14" ht="0.75" customHeight="1" x14ac:dyDescent="0.2">
      <c r="A6" s="30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6"/>
      <c r="N6" s="30"/>
    </row>
    <row r="7" spans="1:14" ht="15" hidden="1" customHeight="1" x14ac:dyDescent="0.2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6"/>
      <c r="N7" s="30"/>
    </row>
    <row r="8" spans="1:14" ht="15" customHeight="1" x14ac:dyDescent="0.2">
      <c r="A8" s="90" t="s">
        <v>25</v>
      </c>
      <c r="B8" s="121"/>
      <c r="C8" s="121"/>
      <c r="D8" s="121"/>
      <c r="E8" s="30"/>
      <c r="F8" s="121" t="s">
        <v>34</v>
      </c>
      <c r="G8" s="121"/>
      <c r="H8" s="121"/>
      <c r="I8" s="121"/>
      <c r="J8" s="121"/>
      <c r="K8" s="121"/>
      <c r="L8" s="121"/>
      <c r="M8" s="36"/>
      <c r="N8" s="30"/>
    </row>
    <row r="9" spans="1:14" ht="15" customHeight="1" x14ac:dyDescent="0.2">
      <c r="A9" s="30" t="s">
        <v>21</v>
      </c>
      <c r="B9" s="30"/>
      <c r="C9" s="30"/>
      <c r="D9" s="30"/>
      <c r="E9" s="30"/>
      <c r="F9" s="37" t="s">
        <v>22</v>
      </c>
      <c r="G9" s="37"/>
      <c r="H9" s="37"/>
      <c r="I9" s="37"/>
      <c r="J9" s="37"/>
      <c r="K9" s="37"/>
      <c r="L9" s="37"/>
      <c r="M9" s="37"/>
      <c r="N9" s="30"/>
    </row>
    <row r="10" spans="1:14" ht="15" customHeight="1" x14ac:dyDescent="0.2">
      <c r="A10" s="122" t="s">
        <v>64</v>
      </c>
      <c r="B10" s="81"/>
      <c r="C10" s="81"/>
      <c r="D10" s="81"/>
      <c r="E10" s="81"/>
      <c r="F10" s="37" t="s">
        <v>65</v>
      </c>
      <c r="G10" s="37"/>
      <c r="H10" s="37"/>
      <c r="I10" s="37"/>
      <c r="J10" s="37"/>
      <c r="K10" s="37"/>
      <c r="L10" s="37"/>
      <c r="M10" s="37"/>
      <c r="N10" s="30"/>
    </row>
    <row r="11" spans="1:14" ht="27.75" customHeight="1" x14ac:dyDescent="0.2">
      <c r="A11" s="122" t="s">
        <v>49</v>
      </c>
      <c r="B11" s="81"/>
      <c r="C11" s="81"/>
      <c r="D11" s="81"/>
      <c r="E11" s="81"/>
      <c r="F11" s="37" t="s">
        <v>45</v>
      </c>
      <c r="G11" s="37"/>
      <c r="H11" s="37"/>
      <c r="I11" s="37"/>
      <c r="J11" s="37"/>
      <c r="K11" s="37"/>
      <c r="L11" s="37"/>
      <c r="M11" s="37"/>
      <c r="N11" s="30"/>
    </row>
    <row r="12" spans="1:14" ht="15" customHeight="1" x14ac:dyDescent="0.2">
      <c r="A12" s="81" t="s">
        <v>50</v>
      </c>
      <c r="B12" s="81"/>
      <c r="C12" s="81"/>
      <c r="D12" s="28"/>
      <c r="E12" s="28"/>
      <c r="F12" s="30" t="s">
        <v>46</v>
      </c>
      <c r="G12" s="38" t="s">
        <v>47</v>
      </c>
      <c r="H12" s="30"/>
      <c r="K12" s="39"/>
      <c r="L12" s="39"/>
      <c r="M12" s="39"/>
      <c r="N12" s="30"/>
    </row>
    <row r="13" spans="1:14" ht="15" customHeight="1" x14ac:dyDescent="0.2">
      <c r="A13" s="30" t="s">
        <v>27</v>
      </c>
      <c r="B13" s="30"/>
      <c r="C13" s="30"/>
      <c r="D13" s="30"/>
      <c r="E13" s="30"/>
      <c r="F13" s="37" t="s">
        <v>42</v>
      </c>
      <c r="G13" s="40" t="s">
        <v>51</v>
      </c>
      <c r="H13" s="37"/>
      <c r="I13" s="37"/>
      <c r="J13" s="37"/>
      <c r="K13" s="37"/>
      <c r="L13" s="37"/>
      <c r="M13" s="37"/>
      <c r="N13" s="30"/>
    </row>
    <row r="14" spans="1:14" ht="15" customHeight="1" x14ac:dyDescent="0.2">
      <c r="A14" s="30" t="s">
        <v>28</v>
      </c>
      <c r="B14" s="30"/>
      <c r="C14" s="30"/>
      <c r="D14" s="30"/>
      <c r="E14" s="30"/>
      <c r="F14" s="37" t="s">
        <v>43</v>
      </c>
      <c r="G14" s="37"/>
      <c r="H14" s="37"/>
      <c r="I14" s="37"/>
      <c r="J14" s="37"/>
      <c r="K14" s="37"/>
      <c r="L14" s="37"/>
      <c r="M14" s="37"/>
      <c r="N14" s="30"/>
    </row>
    <row r="15" spans="1:14" ht="15" customHeight="1" x14ac:dyDescent="0.2">
      <c r="A15" s="30"/>
      <c r="B15" s="30"/>
      <c r="C15" s="30"/>
      <c r="D15" s="30"/>
      <c r="E15" s="30"/>
      <c r="F15" s="118" t="s">
        <v>29</v>
      </c>
      <c r="G15" s="118"/>
      <c r="H15" s="118"/>
      <c r="I15" s="118"/>
      <c r="J15" s="118"/>
      <c r="K15" s="118"/>
      <c r="L15" s="118"/>
      <c r="M15" s="118"/>
      <c r="N15" s="30"/>
    </row>
    <row r="16" spans="1:14" ht="15" customHeight="1" x14ac:dyDescent="0.2">
      <c r="A16" s="41" t="s">
        <v>3</v>
      </c>
      <c r="B16" s="119" t="s">
        <v>4</v>
      </c>
      <c r="C16" s="119"/>
      <c r="D16" s="119"/>
      <c r="E16" s="119" t="s">
        <v>63</v>
      </c>
      <c r="F16" s="119"/>
      <c r="G16" s="119" t="s">
        <v>44</v>
      </c>
      <c r="H16" s="119"/>
      <c r="I16" s="41" t="s">
        <v>5</v>
      </c>
      <c r="J16" s="41" t="s">
        <v>6</v>
      </c>
      <c r="K16" s="119" t="s">
        <v>7</v>
      </c>
      <c r="L16" s="119"/>
      <c r="M16" s="119"/>
      <c r="N16" s="30"/>
    </row>
    <row r="17" spans="1:14" s="44" customFormat="1" ht="24" customHeight="1" x14ac:dyDescent="0.2">
      <c r="A17" s="42">
        <v>1</v>
      </c>
      <c r="B17" s="167" t="s">
        <v>52</v>
      </c>
      <c r="C17" s="168"/>
      <c r="D17" s="169"/>
      <c r="E17" s="170"/>
      <c r="F17" s="170"/>
      <c r="G17" s="170" t="s">
        <v>75</v>
      </c>
      <c r="H17" s="170"/>
      <c r="I17" s="26">
        <v>64</v>
      </c>
      <c r="J17" s="27">
        <v>2474600</v>
      </c>
      <c r="K17" s="171">
        <f t="shared" ref="K17:K28" si="0">IF(OR(ISBLANK(I17),ISBLANK(J17)),0,I17*J17)</f>
        <v>158374400</v>
      </c>
      <c r="L17" s="171"/>
      <c r="M17" s="171"/>
      <c r="N17" s="43"/>
    </row>
    <row r="18" spans="1:14" s="44" customFormat="1" ht="18.75" customHeight="1" x14ac:dyDescent="0.2">
      <c r="A18" s="42"/>
      <c r="B18" s="24" t="s">
        <v>53</v>
      </c>
      <c r="C18" s="45"/>
      <c r="D18" s="46"/>
      <c r="E18" s="113" t="s">
        <v>66</v>
      </c>
      <c r="F18" s="114"/>
      <c r="G18" s="115" t="s">
        <v>74</v>
      </c>
      <c r="H18" s="116"/>
      <c r="I18" s="25">
        <v>4</v>
      </c>
      <c r="J18" s="47"/>
      <c r="K18" s="117"/>
      <c r="L18" s="117"/>
      <c r="M18" s="117"/>
      <c r="N18" s="43"/>
    </row>
    <row r="19" spans="1:14" s="44" customFormat="1" ht="18.75" customHeight="1" x14ac:dyDescent="0.2">
      <c r="A19" s="42"/>
      <c r="B19" s="24" t="s">
        <v>54</v>
      </c>
      <c r="C19" s="45"/>
      <c r="D19" s="46"/>
      <c r="E19" s="113" t="s">
        <v>67</v>
      </c>
      <c r="F19" s="114"/>
      <c r="G19" s="115" t="s">
        <v>74</v>
      </c>
      <c r="H19" s="116"/>
      <c r="I19" s="25">
        <v>4</v>
      </c>
      <c r="J19" s="47"/>
      <c r="K19" s="117"/>
      <c r="L19" s="117"/>
      <c r="M19" s="117"/>
      <c r="N19" s="43"/>
    </row>
    <row r="20" spans="1:14" s="44" customFormat="1" ht="18.75" customHeight="1" x14ac:dyDescent="0.2">
      <c r="A20" s="42"/>
      <c r="B20" s="24" t="s">
        <v>55</v>
      </c>
      <c r="C20" s="45"/>
      <c r="D20" s="46"/>
      <c r="E20" s="113" t="s">
        <v>68</v>
      </c>
      <c r="F20" s="114"/>
      <c r="G20" s="115" t="s">
        <v>74</v>
      </c>
      <c r="H20" s="116"/>
      <c r="I20" s="25">
        <v>2</v>
      </c>
      <c r="J20" s="47"/>
      <c r="K20" s="117"/>
      <c r="L20" s="117"/>
      <c r="M20" s="117"/>
      <c r="N20" s="43"/>
    </row>
    <row r="21" spans="1:14" s="44" customFormat="1" ht="18.75" customHeight="1" x14ac:dyDescent="0.2">
      <c r="A21" s="42"/>
      <c r="B21" s="24" t="s">
        <v>56</v>
      </c>
      <c r="C21" s="45"/>
      <c r="D21" s="46"/>
      <c r="E21" s="113" t="s">
        <v>69</v>
      </c>
      <c r="F21" s="114"/>
      <c r="G21" s="115" t="s">
        <v>74</v>
      </c>
      <c r="H21" s="116"/>
      <c r="I21" s="25">
        <v>2</v>
      </c>
      <c r="J21" s="47"/>
      <c r="K21" s="117"/>
      <c r="L21" s="117"/>
      <c r="M21" s="117"/>
      <c r="N21" s="43"/>
    </row>
    <row r="22" spans="1:14" s="44" customFormat="1" ht="18.75" customHeight="1" x14ac:dyDescent="0.2">
      <c r="A22" s="42"/>
      <c r="B22" s="24" t="s">
        <v>57</v>
      </c>
      <c r="C22" s="45"/>
      <c r="D22" s="46"/>
      <c r="E22" s="113" t="s">
        <v>70</v>
      </c>
      <c r="F22" s="114"/>
      <c r="G22" s="115" t="s">
        <v>74</v>
      </c>
      <c r="H22" s="116"/>
      <c r="I22" s="25">
        <v>1</v>
      </c>
      <c r="J22" s="47"/>
      <c r="K22" s="117"/>
      <c r="L22" s="117"/>
      <c r="M22" s="117"/>
      <c r="N22" s="43"/>
    </row>
    <row r="23" spans="1:14" s="44" customFormat="1" ht="18.75" customHeight="1" x14ac:dyDescent="0.2">
      <c r="A23" s="42"/>
      <c r="B23" s="24" t="s">
        <v>58</v>
      </c>
      <c r="C23" s="45"/>
      <c r="D23" s="46"/>
      <c r="E23" s="113" t="s">
        <v>71</v>
      </c>
      <c r="F23" s="114"/>
      <c r="G23" s="115" t="s">
        <v>74</v>
      </c>
      <c r="H23" s="116"/>
      <c r="I23" s="25">
        <v>5</v>
      </c>
      <c r="J23" s="47"/>
      <c r="K23" s="117"/>
      <c r="L23" s="117"/>
      <c r="M23" s="117"/>
      <c r="N23" s="43"/>
    </row>
    <row r="24" spans="1:14" s="44" customFormat="1" ht="18.75" customHeight="1" x14ac:dyDescent="0.2">
      <c r="A24" s="42"/>
      <c r="B24" s="24" t="s">
        <v>59</v>
      </c>
      <c r="C24" s="45"/>
      <c r="D24" s="46"/>
      <c r="E24" s="113" t="s">
        <v>67</v>
      </c>
      <c r="F24" s="114"/>
      <c r="G24" s="115" t="s">
        <v>74</v>
      </c>
      <c r="H24" s="116"/>
      <c r="I24" s="25">
        <v>5</v>
      </c>
      <c r="J24" s="47"/>
      <c r="K24" s="117"/>
      <c r="L24" s="117"/>
      <c r="M24" s="117"/>
      <c r="N24" s="43"/>
    </row>
    <row r="25" spans="1:14" s="44" customFormat="1" ht="18.75" customHeight="1" x14ac:dyDescent="0.2">
      <c r="A25" s="42"/>
      <c r="B25" s="24" t="s">
        <v>60</v>
      </c>
      <c r="C25" s="45"/>
      <c r="D25" s="46"/>
      <c r="E25" s="113" t="s">
        <v>69</v>
      </c>
      <c r="F25" s="114"/>
      <c r="G25" s="115" t="s">
        <v>74</v>
      </c>
      <c r="H25" s="116"/>
      <c r="I25" s="25">
        <v>2</v>
      </c>
      <c r="J25" s="47"/>
      <c r="K25" s="117"/>
      <c r="L25" s="117"/>
      <c r="M25" s="117"/>
      <c r="N25" s="43"/>
    </row>
    <row r="26" spans="1:14" s="44" customFormat="1" ht="18.75" customHeight="1" x14ac:dyDescent="0.2">
      <c r="A26" s="42"/>
      <c r="B26" s="24" t="s">
        <v>61</v>
      </c>
      <c r="C26" s="45"/>
      <c r="D26" s="46"/>
      <c r="E26" s="113" t="s">
        <v>72</v>
      </c>
      <c r="F26" s="114"/>
      <c r="G26" s="115" t="s">
        <v>74</v>
      </c>
      <c r="H26" s="116"/>
      <c r="I26" s="25">
        <v>2</v>
      </c>
      <c r="J26" s="47"/>
      <c r="K26" s="117"/>
      <c r="L26" s="117"/>
      <c r="M26" s="117"/>
      <c r="N26" s="43"/>
    </row>
    <row r="27" spans="1:14" s="44" customFormat="1" ht="18.75" customHeight="1" x14ac:dyDescent="0.2">
      <c r="A27" s="42"/>
      <c r="B27" s="24" t="s">
        <v>62</v>
      </c>
      <c r="C27" s="45"/>
      <c r="D27" s="46"/>
      <c r="E27" s="113" t="s">
        <v>73</v>
      </c>
      <c r="F27" s="114"/>
      <c r="G27" s="115" t="s">
        <v>74</v>
      </c>
      <c r="H27" s="116"/>
      <c r="I27" s="25">
        <v>2</v>
      </c>
      <c r="J27" s="47"/>
      <c r="K27" s="117"/>
      <c r="L27" s="117"/>
      <c r="M27" s="117"/>
      <c r="N27" s="43"/>
    </row>
    <row r="28" spans="1:14" ht="13.5" customHeight="1" x14ac:dyDescent="0.2">
      <c r="A28" s="48"/>
      <c r="B28" s="111"/>
      <c r="C28" s="111"/>
      <c r="D28" s="111"/>
      <c r="E28" s="111"/>
      <c r="F28" s="111"/>
      <c r="G28" s="107"/>
      <c r="H28" s="107"/>
      <c r="I28" s="48"/>
      <c r="J28" s="49"/>
      <c r="K28" s="112">
        <f t="shared" si="0"/>
        <v>0</v>
      </c>
      <c r="L28" s="112"/>
      <c r="M28" s="112"/>
      <c r="N28" s="30"/>
    </row>
    <row r="29" spans="1:14" ht="15" hidden="1" customHeight="1" x14ac:dyDescent="0.2">
      <c r="A29" s="50"/>
      <c r="B29" s="106"/>
      <c r="C29" s="106"/>
      <c r="D29" s="106"/>
      <c r="E29" s="106"/>
      <c r="F29" s="106"/>
      <c r="G29" s="106"/>
      <c r="H29" s="106"/>
      <c r="I29" s="49"/>
      <c r="J29" s="49"/>
      <c r="K29" s="112"/>
      <c r="L29" s="112"/>
      <c r="M29" s="112"/>
      <c r="N29" s="30"/>
    </row>
    <row r="30" spans="1:14" ht="15" hidden="1" customHeight="1" x14ac:dyDescent="0.2">
      <c r="A30" s="50"/>
      <c r="B30" s="106"/>
      <c r="C30" s="106"/>
      <c r="D30" s="106"/>
      <c r="E30" s="106"/>
      <c r="F30" s="106"/>
      <c r="G30" s="106"/>
      <c r="H30" s="106"/>
      <c r="I30" s="49"/>
      <c r="J30" s="49">
        <v>0</v>
      </c>
      <c r="K30" s="112">
        <f t="shared" ref="K30:K32" si="1">IF(OR(ISBLANK(I30),ISBLANK(J30)),0,I30*J30)</f>
        <v>0</v>
      </c>
      <c r="L30" s="112"/>
      <c r="M30" s="112"/>
      <c r="N30" s="30"/>
    </row>
    <row r="31" spans="1:14" ht="15" hidden="1" customHeight="1" x14ac:dyDescent="0.2">
      <c r="A31" s="50"/>
      <c r="B31" s="106"/>
      <c r="C31" s="106"/>
      <c r="D31" s="106"/>
      <c r="E31" s="106"/>
      <c r="F31" s="106"/>
      <c r="G31" s="106"/>
      <c r="H31" s="106"/>
      <c r="I31" s="49"/>
      <c r="J31" s="49">
        <v>0</v>
      </c>
      <c r="K31" s="107">
        <f t="shared" si="1"/>
        <v>0</v>
      </c>
      <c r="L31" s="107"/>
      <c r="M31" s="107"/>
      <c r="N31" s="30"/>
    </row>
    <row r="32" spans="1:14" ht="15" hidden="1" customHeight="1" x14ac:dyDescent="0.2">
      <c r="A32" s="50"/>
      <c r="B32" s="106"/>
      <c r="C32" s="106"/>
      <c r="D32" s="106"/>
      <c r="E32" s="106"/>
      <c r="F32" s="106"/>
      <c r="G32" s="106"/>
      <c r="H32" s="106"/>
      <c r="I32" s="49"/>
      <c r="J32" s="49">
        <v>0</v>
      </c>
      <c r="K32" s="107">
        <f t="shared" si="1"/>
        <v>0</v>
      </c>
      <c r="L32" s="107"/>
      <c r="M32" s="107"/>
      <c r="N32" s="30"/>
    </row>
    <row r="33" spans="1:15" ht="16.5" customHeight="1" x14ac:dyDescent="0.2">
      <c r="A33" s="108" t="s">
        <v>12</v>
      </c>
      <c r="B33" s="108"/>
      <c r="C33" s="108"/>
      <c r="D33" s="108"/>
      <c r="E33" s="108"/>
      <c r="F33" s="108"/>
      <c r="G33" s="108"/>
      <c r="H33" s="108"/>
      <c r="I33" s="108"/>
      <c r="J33" s="108"/>
      <c r="K33" s="51" t="s">
        <v>8</v>
      </c>
      <c r="L33" s="51"/>
      <c r="M33" s="52">
        <f>SUM(K17:K32)</f>
        <v>158374400</v>
      </c>
      <c r="N33" s="30"/>
    </row>
    <row r="34" spans="1:15" ht="15" customHeight="1" x14ac:dyDescent="0.2">
      <c r="A34" s="109"/>
      <c r="B34" s="109"/>
      <c r="C34" s="109"/>
      <c r="D34" s="109"/>
      <c r="E34" s="109"/>
      <c r="F34" s="109"/>
      <c r="G34" s="109"/>
      <c r="H34" s="109"/>
      <c r="I34" s="109"/>
      <c r="J34" s="109"/>
      <c r="K34" s="51" t="s">
        <v>9</v>
      </c>
      <c r="L34" s="51"/>
      <c r="M34" s="52"/>
      <c r="N34" s="30"/>
    </row>
    <row r="35" spans="1:15" ht="15" customHeight="1" x14ac:dyDescent="0.2">
      <c r="A35" s="109"/>
      <c r="B35" s="109"/>
      <c r="C35" s="109"/>
      <c r="D35" s="109"/>
      <c r="E35" s="109"/>
      <c r="F35" s="109"/>
      <c r="G35" s="109"/>
      <c r="H35" s="109"/>
      <c r="I35" s="109"/>
      <c r="J35" s="109"/>
      <c r="K35" s="51" t="s">
        <v>32</v>
      </c>
      <c r="L35" s="56">
        <v>0.1</v>
      </c>
      <c r="M35" s="52">
        <f>(M33-M34)*L35</f>
        <v>15837440</v>
      </c>
      <c r="N35" s="30"/>
    </row>
    <row r="36" spans="1:15" ht="15" customHeight="1" x14ac:dyDescent="0.2">
      <c r="A36" s="110"/>
      <c r="B36" s="110"/>
      <c r="C36" s="110"/>
      <c r="D36" s="110"/>
      <c r="E36" s="110"/>
      <c r="F36" s="110"/>
      <c r="G36" s="110"/>
      <c r="H36" s="110"/>
      <c r="I36" s="110"/>
      <c r="J36" s="110"/>
      <c r="K36" s="53" t="s">
        <v>10</v>
      </c>
      <c r="L36" s="53"/>
      <c r="M36" s="54">
        <f>M33-M34+M35</f>
        <v>174211840</v>
      </c>
      <c r="N36" s="30"/>
    </row>
    <row r="37" spans="1:15" ht="17.25" customHeight="1" x14ac:dyDescent="0.2">
      <c r="A37" s="90" t="s">
        <v>15</v>
      </c>
      <c r="B37" s="91"/>
      <c r="C37" s="92" t="s">
        <v>16</v>
      </c>
      <c r="D37" s="93"/>
      <c r="E37" s="94"/>
      <c r="F37" s="95" t="s">
        <v>17</v>
      </c>
      <c r="G37" s="93"/>
      <c r="H37" s="93"/>
      <c r="I37" s="96"/>
      <c r="J37" s="97" t="s">
        <v>19</v>
      </c>
      <c r="K37" s="93"/>
      <c r="L37" s="93"/>
      <c r="M37" s="98"/>
      <c r="N37" s="30"/>
    </row>
    <row r="38" spans="1:15" ht="43.9" customHeight="1" x14ac:dyDescent="0.2">
      <c r="A38" s="99" t="s">
        <v>26</v>
      </c>
      <c r="B38" s="100"/>
      <c r="C38" s="99" t="s">
        <v>20</v>
      </c>
      <c r="D38" s="101"/>
      <c r="E38" s="102"/>
      <c r="F38" s="99" t="s">
        <v>20</v>
      </c>
      <c r="G38" s="101"/>
      <c r="H38" s="101"/>
      <c r="I38" s="101"/>
      <c r="J38" s="103" t="s">
        <v>48</v>
      </c>
      <c r="K38" s="104"/>
      <c r="L38" s="104"/>
      <c r="M38" s="105"/>
      <c r="N38" s="30"/>
    </row>
    <row r="39" spans="1:15" ht="7.5" customHeight="1" x14ac:dyDescent="0.2">
      <c r="A39" s="81"/>
      <c r="B39" s="82"/>
      <c r="C39" s="82"/>
      <c r="D39" s="30"/>
      <c r="E39" s="30"/>
      <c r="F39" s="83"/>
      <c r="G39" s="83"/>
      <c r="H39" s="83"/>
      <c r="I39" s="82"/>
      <c r="J39" s="82"/>
      <c r="K39" s="82"/>
      <c r="L39" s="82"/>
      <c r="M39" s="82"/>
      <c r="N39" s="30"/>
    </row>
    <row r="40" spans="1:15" ht="18" customHeight="1" x14ac:dyDescent="0.2">
      <c r="A40" s="84" t="s">
        <v>24</v>
      </c>
      <c r="B40" s="85"/>
      <c r="C40" s="85"/>
      <c r="D40" s="86"/>
      <c r="E40" s="30"/>
      <c r="I40" s="84" t="s">
        <v>23</v>
      </c>
      <c r="J40" s="85"/>
      <c r="K40" s="85"/>
      <c r="L40" s="85"/>
      <c r="M40" s="86"/>
      <c r="N40" s="30"/>
      <c r="O40" s="55"/>
    </row>
    <row r="41" spans="1:15" ht="6.75" customHeight="1" x14ac:dyDescent="0.2">
      <c r="A41" s="87"/>
      <c r="B41" s="82"/>
      <c r="C41" s="82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30"/>
    </row>
    <row r="42" spans="1:15" ht="18" customHeight="1" x14ac:dyDescent="0.2">
      <c r="N42" s="30"/>
    </row>
  </sheetData>
  <mergeCells count="71">
    <mergeCell ref="A40:D40"/>
    <mergeCell ref="I40:M40"/>
    <mergeCell ref="A41:M41"/>
    <mergeCell ref="A38:B38"/>
    <mergeCell ref="C38:E38"/>
    <mergeCell ref="F38:I38"/>
    <mergeCell ref="J38:M38"/>
    <mergeCell ref="A39:C39"/>
    <mergeCell ref="F39:M39"/>
    <mergeCell ref="C37:E37"/>
    <mergeCell ref="F37:I37"/>
    <mergeCell ref="J37:M37"/>
    <mergeCell ref="B29:H29"/>
    <mergeCell ref="K29:M29"/>
    <mergeCell ref="B30:H30"/>
    <mergeCell ref="K30:M30"/>
    <mergeCell ref="B31:H31"/>
    <mergeCell ref="K31:M31"/>
    <mergeCell ref="B32:H32"/>
    <mergeCell ref="K32:M32"/>
    <mergeCell ref="A33:J33"/>
    <mergeCell ref="A34:J36"/>
    <mergeCell ref="A37:B37"/>
    <mergeCell ref="K28:M28"/>
    <mergeCell ref="F1:M1"/>
    <mergeCell ref="A8:D8"/>
    <mergeCell ref="F8:L8"/>
    <mergeCell ref="A10:E10"/>
    <mergeCell ref="A11:E11"/>
    <mergeCell ref="A12:C12"/>
    <mergeCell ref="F15:M15"/>
    <mergeCell ref="K16:M16"/>
    <mergeCell ref="K17:M17"/>
    <mergeCell ref="G16:H16"/>
    <mergeCell ref="G17:H17"/>
    <mergeCell ref="G28:H28"/>
    <mergeCell ref="B28:F28"/>
    <mergeCell ref="B16:D16"/>
    <mergeCell ref="E16:F16"/>
    <mergeCell ref="K18:M18"/>
    <mergeCell ref="K19:M19"/>
    <mergeCell ref="K20:M20"/>
    <mergeCell ref="G26:H26"/>
    <mergeCell ref="G27:H27"/>
    <mergeCell ref="K26:M26"/>
    <mergeCell ref="K27:M27"/>
    <mergeCell ref="K21:M21"/>
    <mergeCell ref="K22:M22"/>
    <mergeCell ref="K23:M23"/>
    <mergeCell ref="K24:M24"/>
    <mergeCell ref="K25:M25"/>
    <mergeCell ref="G21:H21"/>
    <mergeCell ref="G22:H22"/>
    <mergeCell ref="G23:H23"/>
    <mergeCell ref="G24:H24"/>
    <mergeCell ref="G25:H25"/>
    <mergeCell ref="B17:D17"/>
    <mergeCell ref="E17:F17"/>
    <mergeCell ref="G18:H18"/>
    <mergeCell ref="G19:H19"/>
    <mergeCell ref="G20:H20"/>
    <mergeCell ref="E23:F23"/>
    <mergeCell ref="E24:F24"/>
    <mergeCell ref="E25:F25"/>
    <mergeCell ref="E26:F26"/>
    <mergeCell ref="E27:F27"/>
    <mergeCell ref="E18:F18"/>
    <mergeCell ref="E19:F19"/>
    <mergeCell ref="E20:F20"/>
    <mergeCell ref="E21:F21"/>
    <mergeCell ref="E22:F22"/>
  </mergeCells>
  <conditionalFormatting sqref="A8 F8:H8 A16:B16 G16 I16:M16 A33">
    <cfRule type="expression" dxfId="43" priority="6" stopIfTrue="1">
      <formula>IF(#REF!="No Color",TRUE,FALSE)</formula>
    </cfRule>
    <cfRule type="expression" dxfId="42" priority="7" stopIfTrue="1">
      <formula>IF(#REF!="Red",TRUE,FALSE)</formula>
    </cfRule>
    <cfRule type="expression" dxfId="41" priority="8" stopIfTrue="1">
      <formula>IF(#REF!="Green",TRUE,FALSE)</formula>
    </cfRule>
  </conditionalFormatting>
  <conditionalFormatting sqref="A17:B17 I17:M17 A18:A27 A28:B32 I28:M32">
    <cfRule type="expression" dxfId="40" priority="12" stopIfTrue="1">
      <formula>MOD(ROW(),2)=1</formula>
    </cfRule>
  </conditionalFormatting>
  <conditionalFormatting sqref="A37:C37 F37:J37">
    <cfRule type="expression" dxfId="39" priority="3" stopIfTrue="1">
      <formula>IF(#REF!="No Color",TRUE,FALSE)</formula>
    </cfRule>
    <cfRule type="expression" dxfId="38" priority="4" stopIfTrue="1">
      <formula>IF(#REF!="Red",TRUE,FALSE)</formula>
    </cfRule>
    <cfRule type="expression" dxfId="37" priority="5" stopIfTrue="1">
      <formula>IF(#REF!="Green",TRUE,FALSE)</formula>
    </cfRule>
  </conditionalFormatting>
  <conditionalFormatting sqref="E17 G17 G28">
    <cfRule type="expression" dxfId="36" priority="1" stopIfTrue="1">
      <formula>MOD(ROW(),2)=1</formula>
    </cfRule>
  </conditionalFormatting>
  <conditionalFormatting sqref="F1:M1">
    <cfRule type="expression" dxfId="35" priority="9" stopIfTrue="1">
      <formula>IF(#REF!="No Color",TRUE,FALSE)</formula>
    </cfRule>
    <cfRule type="expression" dxfId="34" priority="10" stopIfTrue="1">
      <formula>IF(#REF!="Red",TRUE,FALSE)</formula>
    </cfRule>
    <cfRule type="expression" dxfId="33" priority="11" stopIfTrue="1">
      <formula>IF(#REF!="Green",TRUE,FALSE)</formula>
    </cfRule>
  </conditionalFormatting>
  <printOptions horizontalCentered="1"/>
  <pageMargins left="0.51181102362204722" right="0.11811023622047245" top="0.15748031496062992" bottom="0.11811023622047245" header="0" footer="0"/>
  <pageSetup scale="85" fitToWidth="0" orientation="landscape" r:id="rId1"/>
  <headerFooter>
    <oddFooter>&amp;LGTAM JSC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4AE0C-8BE6-448A-A13B-B7F0458D2DB4}">
  <dimension ref="A1:O42"/>
  <sheetViews>
    <sheetView showGridLines="0" zoomScaleNormal="100" workbookViewId="0">
      <selection activeCell="N13" sqref="N13"/>
    </sheetView>
  </sheetViews>
  <sheetFormatPr defaultColWidth="14.42578125" defaultRowHeight="15" customHeight="1" x14ac:dyDescent="0.2"/>
  <cols>
    <col min="1" max="1" width="7.5703125" style="31" customWidth="1"/>
    <col min="2" max="2" width="28.5703125" style="31" customWidth="1"/>
    <col min="3" max="3" width="13.5703125" style="31" customWidth="1"/>
    <col min="4" max="4" width="16.7109375" style="31" customWidth="1"/>
    <col min="5" max="5" width="11.42578125" style="31" customWidth="1"/>
    <col min="6" max="6" width="15.85546875" style="31" customWidth="1"/>
    <col min="7" max="7" width="3.7109375" style="31" customWidth="1"/>
    <col min="8" max="8" width="6.7109375" style="31" customWidth="1"/>
    <col min="9" max="9" width="14.140625" style="31" customWidth="1"/>
    <col min="10" max="10" width="13.28515625" style="31" customWidth="1"/>
    <col min="11" max="11" width="12.42578125" style="31" customWidth="1"/>
    <col min="12" max="12" width="5.85546875" style="31" customWidth="1"/>
    <col min="13" max="13" width="16.42578125" style="31" customWidth="1"/>
    <col min="14" max="14" width="14" style="31" customWidth="1"/>
    <col min="15" max="16384" width="14.42578125" style="31"/>
  </cols>
  <sheetData>
    <row r="1" spans="1:14" ht="33.6" customHeight="1" x14ac:dyDescent="0.2">
      <c r="A1" s="28"/>
      <c r="B1" s="29"/>
      <c r="C1" s="29"/>
      <c r="D1" s="29"/>
      <c r="E1" s="29"/>
      <c r="F1" s="120" t="s">
        <v>33</v>
      </c>
      <c r="G1" s="120"/>
      <c r="H1" s="120"/>
      <c r="I1" s="120"/>
      <c r="J1" s="120"/>
      <c r="K1" s="120"/>
      <c r="L1" s="120"/>
      <c r="M1" s="120"/>
      <c r="N1" s="30"/>
    </row>
    <row r="2" spans="1:14" ht="15" customHeight="1" x14ac:dyDescent="0.2">
      <c r="A2" s="30"/>
      <c r="B2" s="30"/>
      <c r="C2" s="30"/>
      <c r="D2" s="32"/>
      <c r="E2" s="30"/>
      <c r="F2" s="30"/>
      <c r="G2" s="30"/>
      <c r="H2" s="30"/>
      <c r="I2" s="30"/>
      <c r="J2" s="30"/>
      <c r="K2" s="30" t="s">
        <v>0</v>
      </c>
      <c r="L2" s="30"/>
      <c r="M2" s="33">
        <v>46109</v>
      </c>
      <c r="N2" s="30"/>
    </row>
    <row r="3" spans="1:14" ht="15" customHeight="1" x14ac:dyDescent="0.2">
      <c r="A3" s="30"/>
      <c r="B3" s="30"/>
      <c r="C3" s="30"/>
      <c r="D3" s="30"/>
      <c r="E3" s="30"/>
      <c r="F3" s="30"/>
      <c r="G3" s="30"/>
      <c r="H3" s="30"/>
      <c r="I3" s="30"/>
      <c r="J3" s="30"/>
      <c r="K3" s="30" t="s">
        <v>1</v>
      </c>
      <c r="L3" s="30"/>
      <c r="M3" s="34" t="s">
        <v>77</v>
      </c>
      <c r="N3" s="30"/>
    </row>
    <row r="4" spans="1:14" ht="15" customHeight="1" x14ac:dyDescent="0.2">
      <c r="A4" s="30"/>
      <c r="B4" s="30"/>
      <c r="C4" s="30"/>
      <c r="D4" s="30"/>
      <c r="E4" s="30"/>
      <c r="F4" s="30"/>
      <c r="G4" s="30"/>
      <c r="H4" s="30"/>
      <c r="I4" s="30"/>
      <c r="J4" s="30"/>
      <c r="K4" s="30" t="s">
        <v>2</v>
      </c>
      <c r="L4" s="30"/>
      <c r="M4" s="35"/>
      <c r="N4" s="30"/>
    </row>
    <row r="5" spans="1:14" ht="15" customHeight="1" x14ac:dyDescent="0.2">
      <c r="A5" s="30"/>
      <c r="B5" s="30"/>
      <c r="C5" s="30"/>
      <c r="D5" s="30"/>
      <c r="E5" s="30"/>
      <c r="F5" s="30"/>
      <c r="G5" s="30"/>
      <c r="H5" s="30"/>
      <c r="I5" s="30"/>
      <c r="J5" s="30"/>
      <c r="K5" s="30" t="s">
        <v>31</v>
      </c>
      <c r="L5" s="30"/>
      <c r="M5" s="35"/>
      <c r="N5" s="30"/>
    </row>
    <row r="6" spans="1:14" ht="0.75" customHeight="1" x14ac:dyDescent="0.2">
      <c r="A6" s="30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6"/>
      <c r="N6" s="30"/>
    </row>
    <row r="7" spans="1:14" ht="15" hidden="1" customHeight="1" x14ac:dyDescent="0.2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6"/>
      <c r="N7" s="30"/>
    </row>
    <row r="8" spans="1:14" ht="15" customHeight="1" x14ac:dyDescent="0.2">
      <c r="A8" s="90" t="s">
        <v>25</v>
      </c>
      <c r="B8" s="121"/>
      <c r="C8" s="121"/>
      <c r="D8" s="121"/>
      <c r="E8" s="30"/>
      <c r="F8" s="121" t="s">
        <v>34</v>
      </c>
      <c r="G8" s="121"/>
      <c r="H8" s="121"/>
      <c r="I8" s="121"/>
      <c r="J8" s="121"/>
      <c r="K8" s="121"/>
      <c r="L8" s="121"/>
      <c r="M8" s="36"/>
      <c r="N8" s="30"/>
    </row>
    <row r="9" spans="1:14" ht="15" customHeight="1" x14ac:dyDescent="0.2">
      <c r="A9" s="30" t="s">
        <v>21</v>
      </c>
      <c r="B9" s="30"/>
      <c r="C9" s="30"/>
      <c r="D9" s="30"/>
      <c r="E9" s="30"/>
      <c r="F9" s="37" t="s">
        <v>22</v>
      </c>
      <c r="G9" s="37"/>
      <c r="H9" s="37"/>
      <c r="I9" s="37"/>
      <c r="J9" s="37"/>
      <c r="K9" s="37"/>
      <c r="L9" s="37"/>
      <c r="M9" s="37"/>
      <c r="N9" s="30"/>
    </row>
    <row r="10" spans="1:14" ht="15" customHeight="1" x14ac:dyDescent="0.2">
      <c r="A10" s="122" t="s">
        <v>64</v>
      </c>
      <c r="B10" s="81"/>
      <c r="C10" s="81"/>
      <c r="D10" s="81"/>
      <c r="E10" s="81"/>
      <c r="F10" s="37" t="s">
        <v>65</v>
      </c>
      <c r="G10" s="37"/>
      <c r="H10" s="37"/>
      <c r="I10" s="37"/>
      <c r="J10" s="37"/>
      <c r="K10" s="37"/>
      <c r="L10" s="37"/>
      <c r="M10" s="37"/>
      <c r="N10" s="30"/>
    </row>
    <row r="11" spans="1:14" ht="27.75" customHeight="1" x14ac:dyDescent="0.2">
      <c r="A11" s="122" t="s">
        <v>49</v>
      </c>
      <c r="B11" s="81"/>
      <c r="C11" s="81"/>
      <c r="D11" s="81"/>
      <c r="E11" s="81"/>
      <c r="F11" s="37" t="s">
        <v>45</v>
      </c>
      <c r="G11" s="37"/>
      <c r="H11" s="37"/>
      <c r="I11" s="37"/>
      <c r="J11" s="37"/>
      <c r="K11" s="37"/>
      <c r="L11" s="37"/>
      <c r="M11" s="37"/>
      <c r="N11" s="30"/>
    </row>
    <row r="12" spans="1:14" ht="15" customHeight="1" x14ac:dyDescent="0.2">
      <c r="A12" s="81" t="s">
        <v>50</v>
      </c>
      <c r="B12" s="81"/>
      <c r="C12" s="81"/>
      <c r="D12" s="28"/>
      <c r="E12" s="28"/>
      <c r="F12" s="30" t="s">
        <v>46</v>
      </c>
      <c r="G12" s="38" t="s">
        <v>47</v>
      </c>
      <c r="H12" s="30"/>
      <c r="K12" s="39"/>
      <c r="L12" s="39"/>
      <c r="M12" s="39"/>
      <c r="N12" s="30"/>
    </row>
    <row r="13" spans="1:14" ht="15" customHeight="1" x14ac:dyDescent="0.2">
      <c r="A13" s="30" t="s">
        <v>27</v>
      </c>
      <c r="B13" s="30"/>
      <c r="C13" s="30"/>
      <c r="D13" s="30"/>
      <c r="E13" s="30"/>
      <c r="F13" s="37" t="s">
        <v>42</v>
      </c>
      <c r="G13" s="40" t="s">
        <v>51</v>
      </c>
      <c r="H13" s="37"/>
      <c r="I13" s="37"/>
      <c r="J13" s="37"/>
      <c r="K13" s="37"/>
      <c r="L13" s="37"/>
      <c r="M13" s="37"/>
      <c r="N13" s="30"/>
    </row>
    <row r="14" spans="1:14" ht="15" customHeight="1" x14ac:dyDescent="0.2">
      <c r="A14" s="30" t="s">
        <v>28</v>
      </c>
      <c r="B14" s="30"/>
      <c r="C14" s="30"/>
      <c r="D14" s="30"/>
      <c r="E14" s="30"/>
      <c r="F14" s="37" t="s">
        <v>43</v>
      </c>
      <c r="G14" s="37"/>
      <c r="H14" s="37"/>
      <c r="I14" s="37"/>
      <c r="J14" s="37"/>
      <c r="K14" s="37"/>
      <c r="L14" s="37"/>
      <c r="M14" s="37"/>
      <c r="N14" s="30"/>
    </row>
    <row r="15" spans="1:14" ht="15" customHeight="1" x14ac:dyDescent="0.2">
      <c r="A15" s="30"/>
      <c r="B15" s="30"/>
      <c r="C15" s="30"/>
      <c r="D15" s="30"/>
      <c r="E15" s="30"/>
      <c r="F15" s="118" t="s">
        <v>29</v>
      </c>
      <c r="G15" s="118"/>
      <c r="H15" s="118"/>
      <c r="I15" s="118"/>
      <c r="J15" s="118"/>
      <c r="K15" s="118"/>
      <c r="L15" s="118"/>
      <c r="M15" s="118"/>
      <c r="N15" s="30"/>
    </row>
    <row r="16" spans="1:14" ht="15" customHeight="1" x14ac:dyDescent="0.2">
      <c r="A16" s="41" t="s">
        <v>3</v>
      </c>
      <c r="B16" s="119" t="s">
        <v>4</v>
      </c>
      <c r="C16" s="119"/>
      <c r="D16" s="119"/>
      <c r="E16" s="119" t="s">
        <v>63</v>
      </c>
      <c r="F16" s="119"/>
      <c r="G16" s="119" t="s">
        <v>44</v>
      </c>
      <c r="H16" s="119"/>
      <c r="I16" s="41" t="s">
        <v>5</v>
      </c>
      <c r="J16" s="41" t="s">
        <v>6</v>
      </c>
      <c r="K16" s="119" t="s">
        <v>7</v>
      </c>
      <c r="L16" s="119"/>
      <c r="M16" s="119"/>
      <c r="N16" s="30"/>
    </row>
    <row r="17" spans="1:14" s="44" customFormat="1" ht="24" customHeight="1" x14ac:dyDescent="0.2">
      <c r="A17" s="42">
        <v>1</v>
      </c>
      <c r="B17" s="167" t="s">
        <v>78</v>
      </c>
      <c r="C17" s="168"/>
      <c r="D17" s="169"/>
      <c r="E17" s="170"/>
      <c r="F17" s="170"/>
      <c r="G17" s="170" t="s">
        <v>75</v>
      </c>
      <c r="H17" s="170"/>
      <c r="I17" s="26">
        <v>189</v>
      </c>
      <c r="J17" s="27">
        <v>650000</v>
      </c>
      <c r="K17" s="171">
        <f t="shared" ref="K17:K28" si="0">IF(OR(ISBLANK(I17),ISBLANK(J17)),0,I17*J17)</f>
        <v>122850000</v>
      </c>
      <c r="L17" s="171"/>
      <c r="M17" s="171"/>
      <c r="N17" s="43"/>
    </row>
    <row r="18" spans="1:14" s="44" customFormat="1" ht="21.75" customHeight="1" x14ac:dyDescent="0.2">
      <c r="A18" s="42"/>
      <c r="B18" s="24"/>
      <c r="C18" s="45"/>
      <c r="D18" s="46"/>
      <c r="E18" s="113"/>
      <c r="F18" s="114"/>
      <c r="G18" s="115"/>
      <c r="H18" s="116"/>
      <c r="I18" s="25"/>
      <c r="J18" s="47"/>
      <c r="K18" s="117"/>
      <c r="L18" s="117"/>
      <c r="M18" s="117"/>
      <c r="N18" s="43"/>
    </row>
    <row r="19" spans="1:14" s="44" customFormat="1" ht="18.75" hidden="1" customHeight="1" x14ac:dyDescent="0.2">
      <c r="A19" s="42"/>
      <c r="B19" s="24"/>
      <c r="C19" s="45"/>
      <c r="D19" s="46"/>
      <c r="E19" s="113"/>
      <c r="F19" s="114"/>
      <c r="G19" s="115"/>
      <c r="H19" s="116"/>
      <c r="I19" s="25"/>
      <c r="J19" s="47"/>
      <c r="K19" s="117"/>
      <c r="L19" s="117"/>
      <c r="M19" s="117"/>
      <c r="N19" s="43"/>
    </row>
    <row r="20" spans="1:14" s="44" customFormat="1" ht="18.75" hidden="1" customHeight="1" x14ac:dyDescent="0.2">
      <c r="A20" s="42"/>
      <c r="B20" s="24"/>
      <c r="C20" s="45"/>
      <c r="D20" s="46"/>
      <c r="E20" s="113"/>
      <c r="F20" s="114"/>
      <c r="G20" s="115"/>
      <c r="H20" s="116"/>
      <c r="I20" s="25"/>
      <c r="J20" s="47"/>
      <c r="K20" s="117"/>
      <c r="L20" s="117"/>
      <c r="M20" s="117"/>
      <c r="N20" s="43"/>
    </row>
    <row r="21" spans="1:14" s="44" customFormat="1" ht="18.75" hidden="1" customHeight="1" x14ac:dyDescent="0.2">
      <c r="A21" s="42"/>
      <c r="B21" s="24"/>
      <c r="C21" s="45"/>
      <c r="D21" s="46"/>
      <c r="E21" s="113"/>
      <c r="F21" s="114"/>
      <c r="G21" s="115"/>
      <c r="H21" s="116"/>
      <c r="I21" s="25"/>
      <c r="J21" s="47"/>
      <c r="K21" s="117"/>
      <c r="L21" s="117"/>
      <c r="M21" s="117"/>
      <c r="N21" s="43"/>
    </row>
    <row r="22" spans="1:14" s="44" customFormat="1" ht="18.75" hidden="1" customHeight="1" x14ac:dyDescent="0.2">
      <c r="A22" s="42"/>
      <c r="B22" s="24"/>
      <c r="C22" s="45"/>
      <c r="D22" s="46"/>
      <c r="E22" s="113"/>
      <c r="F22" s="114"/>
      <c r="G22" s="115"/>
      <c r="H22" s="116"/>
      <c r="I22" s="25"/>
      <c r="J22" s="47"/>
      <c r="K22" s="117"/>
      <c r="L22" s="117"/>
      <c r="M22" s="117"/>
      <c r="N22" s="43"/>
    </row>
    <row r="23" spans="1:14" s="44" customFormat="1" ht="18.75" hidden="1" customHeight="1" x14ac:dyDescent="0.2">
      <c r="A23" s="42"/>
      <c r="B23" s="24"/>
      <c r="C23" s="45"/>
      <c r="D23" s="46"/>
      <c r="E23" s="113"/>
      <c r="F23" s="114"/>
      <c r="G23" s="115"/>
      <c r="H23" s="116"/>
      <c r="I23" s="25"/>
      <c r="J23" s="47"/>
      <c r="K23" s="117"/>
      <c r="L23" s="117"/>
      <c r="M23" s="117"/>
      <c r="N23" s="43"/>
    </row>
    <row r="24" spans="1:14" s="44" customFormat="1" ht="18.75" hidden="1" customHeight="1" x14ac:dyDescent="0.2">
      <c r="A24" s="42"/>
      <c r="B24" s="24"/>
      <c r="C24" s="45"/>
      <c r="D24" s="46"/>
      <c r="E24" s="113"/>
      <c r="F24" s="114"/>
      <c r="G24" s="115"/>
      <c r="H24" s="116"/>
      <c r="I24" s="25"/>
      <c r="J24" s="47"/>
      <c r="K24" s="117"/>
      <c r="L24" s="117"/>
      <c r="M24" s="117"/>
      <c r="N24" s="43"/>
    </row>
    <row r="25" spans="1:14" s="44" customFormat="1" ht="18.75" hidden="1" customHeight="1" x14ac:dyDescent="0.2">
      <c r="A25" s="42"/>
      <c r="B25" s="24"/>
      <c r="C25" s="45"/>
      <c r="D25" s="46"/>
      <c r="E25" s="113"/>
      <c r="F25" s="114"/>
      <c r="G25" s="115"/>
      <c r="H25" s="116"/>
      <c r="I25" s="25"/>
      <c r="J25" s="47"/>
      <c r="K25" s="117"/>
      <c r="L25" s="117"/>
      <c r="M25" s="117"/>
      <c r="N25" s="43"/>
    </row>
    <row r="26" spans="1:14" s="44" customFormat="1" ht="18.75" hidden="1" customHeight="1" x14ac:dyDescent="0.2">
      <c r="A26" s="42"/>
      <c r="B26" s="24"/>
      <c r="C26" s="45"/>
      <c r="D26" s="46"/>
      <c r="E26" s="113"/>
      <c r="F26" s="114"/>
      <c r="G26" s="115"/>
      <c r="H26" s="116"/>
      <c r="I26" s="25"/>
      <c r="J26" s="47"/>
      <c r="K26" s="117"/>
      <c r="L26" s="117"/>
      <c r="M26" s="117"/>
      <c r="N26" s="43"/>
    </row>
    <row r="27" spans="1:14" s="44" customFormat="1" ht="18.75" hidden="1" customHeight="1" x14ac:dyDescent="0.2">
      <c r="A27" s="42"/>
      <c r="B27" s="24"/>
      <c r="C27" s="45"/>
      <c r="D27" s="46"/>
      <c r="E27" s="113"/>
      <c r="F27" s="114"/>
      <c r="G27" s="115"/>
      <c r="H27" s="116"/>
      <c r="I27" s="25"/>
      <c r="J27" s="47"/>
      <c r="K27" s="117"/>
      <c r="L27" s="117"/>
      <c r="M27" s="117"/>
      <c r="N27" s="43"/>
    </row>
    <row r="28" spans="1:14" ht="13.5" hidden="1" customHeight="1" x14ac:dyDescent="0.2">
      <c r="A28" s="48"/>
      <c r="B28" s="111"/>
      <c r="C28" s="111"/>
      <c r="D28" s="111"/>
      <c r="E28" s="111"/>
      <c r="F28" s="111"/>
      <c r="G28" s="107"/>
      <c r="H28" s="107"/>
      <c r="I28" s="48"/>
      <c r="J28" s="49"/>
      <c r="K28" s="112">
        <f t="shared" si="0"/>
        <v>0</v>
      </c>
      <c r="L28" s="112"/>
      <c r="M28" s="112"/>
      <c r="N28" s="30"/>
    </row>
    <row r="29" spans="1:14" ht="15" hidden="1" customHeight="1" x14ac:dyDescent="0.2">
      <c r="A29" s="50"/>
      <c r="B29" s="106"/>
      <c r="C29" s="106"/>
      <c r="D29" s="106"/>
      <c r="E29" s="106"/>
      <c r="F29" s="106"/>
      <c r="G29" s="106"/>
      <c r="H29" s="106"/>
      <c r="I29" s="49"/>
      <c r="J29" s="49"/>
      <c r="K29" s="112"/>
      <c r="L29" s="112"/>
      <c r="M29" s="112"/>
      <c r="N29" s="30"/>
    </row>
    <row r="30" spans="1:14" ht="15" hidden="1" customHeight="1" x14ac:dyDescent="0.2">
      <c r="A30" s="50"/>
      <c r="B30" s="106"/>
      <c r="C30" s="106"/>
      <c r="D30" s="106"/>
      <c r="E30" s="106"/>
      <c r="F30" s="106"/>
      <c r="G30" s="106"/>
      <c r="H30" s="106"/>
      <c r="I30" s="49"/>
      <c r="J30" s="49">
        <v>0</v>
      </c>
      <c r="K30" s="112">
        <f t="shared" ref="K30:K32" si="1">IF(OR(ISBLANK(I30),ISBLANK(J30)),0,I30*J30)</f>
        <v>0</v>
      </c>
      <c r="L30" s="112"/>
      <c r="M30" s="112"/>
      <c r="N30" s="30"/>
    </row>
    <row r="31" spans="1:14" ht="15" hidden="1" customHeight="1" x14ac:dyDescent="0.2">
      <c r="A31" s="50"/>
      <c r="B31" s="106"/>
      <c r="C31" s="106"/>
      <c r="D31" s="106"/>
      <c r="E31" s="106"/>
      <c r="F31" s="106"/>
      <c r="G31" s="106"/>
      <c r="H31" s="106"/>
      <c r="I31" s="49"/>
      <c r="J31" s="49">
        <v>0</v>
      </c>
      <c r="K31" s="107">
        <f t="shared" si="1"/>
        <v>0</v>
      </c>
      <c r="L31" s="107"/>
      <c r="M31" s="107"/>
      <c r="N31" s="30"/>
    </row>
    <row r="32" spans="1:14" ht="15" hidden="1" customHeight="1" x14ac:dyDescent="0.2">
      <c r="A32" s="50"/>
      <c r="B32" s="106"/>
      <c r="C32" s="106"/>
      <c r="D32" s="106"/>
      <c r="E32" s="106"/>
      <c r="F32" s="106"/>
      <c r="G32" s="106"/>
      <c r="H32" s="106"/>
      <c r="I32" s="49"/>
      <c r="J32" s="49">
        <v>0</v>
      </c>
      <c r="K32" s="107">
        <f t="shared" si="1"/>
        <v>0</v>
      </c>
      <c r="L32" s="107"/>
      <c r="M32" s="107"/>
      <c r="N32" s="30"/>
    </row>
    <row r="33" spans="1:15" ht="16.5" customHeight="1" x14ac:dyDescent="0.2">
      <c r="A33" s="108" t="s">
        <v>12</v>
      </c>
      <c r="B33" s="108"/>
      <c r="C33" s="108"/>
      <c r="D33" s="108"/>
      <c r="E33" s="108"/>
      <c r="F33" s="108"/>
      <c r="G33" s="108"/>
      <c r="H33" s="108"/>
      <c r="I33" s="108"/>
      <c r="J33" s="108"/>
      <c r="K33" s="51" t="s">
        <v>8</v>
      </c>
      <c r="L33" s="51"/>
      <c r="M33" s="52">
        <f>SUM(K17:K32)</f>
        <v>122850000</v>
      </c>
      <c r="N33" s="30"/>
    </row>
    <row r="34" spans="1:15" ht="15" customHeight="1" x14ac:dyDescent="0.2">
      <c r="A34" s="109"/>
      <c r="B34" s="109"/>
      <c r="C34" s="109"/>
      <c r="D34" s="109"/>
      <c r="E34" s="109"/>
      <c r="F34" s="109"/>
      <c r="G34" s="109"/>
      <c r="H34" s="109"/>
      <c r="I34" s="109"/>
      <c r="J34" s="109"/>
      <c r="K34" s="51" t="s">
        <v>9</v>
      </c>
      <c r="L34" s="51"/>
      <c r="M34" s="52"/>
      <c r="N34" s="30"/>
    </row>
    <row r="35" spans="1:15" ht="15" customHeight="1" x14ac:dyDescent="0.2">
      <c r="A35" s="109"/>
      <c r="B35" s="109"/>
      <c r="C35" s="109"/>
      <c r="D35" s="109"/>
      <c r="E35" s="109"/>
      <c r="F35" s="109"/>
      <c r="G35" s="109"/>
      <c r="H35" s="109"/>
      <c r="I35" s="109"/>
      <c r="J35" s="109"/>
      <c r="K35" s="51" t="s">
        <v>32</v>
      </c>
      <c r="L35" s="56">
        <v>0.1</v>
      </c>
      <c r="M35" s="52">
        <f>(M33-M34)*L35</f>
        <v>12285000</v>
      </c>
      <c r="N35" s="30"/>
    </row>
    <row r="36" spans="1:15" ht="15" customHeight="1" x14ac:dyDescent="0.2">
      <c r="A36" s="110"/>
      <c r="B36" s="110"/>
      <c r="C36" s="110"/>
      <c r="D36" s="110"/>
      <c r="E36" s="110"/>
      <c r="F36" s="110"/>
      <c r="G36" s="110"/>
      <c r="H36" s="110"/>
      <c r="I36" s="110"/>
      <c r="J36" s="110"/>
      <c r="K36" s="53" t="s">
        <v>10</v>
      </c>
      <c r="L36" s="53"/>
      <c r="M36" s="54">
        <f>M33-M34+M35</f>
        <v>135135000</v>
      </c>
      <c r="N36" s="30"/>
    </row>
    <row r="37" spans="1:15" ht="17.25" customHeight="1" x14ac:dyDescent="0.2">
      <c r="A37" s="90" t="s">
        <v>15</v>
      </c>
      <c r="B37" s="91"/>
      <c r="C37" s="92" t="s">
        <v>16</v>
      </c>
      <c r="D37" s="93"/>
      <c r="E37" s="94"/>
      <c r="F37" s="95" t="s">
        <v>17</v>
      </c>
      <c r="G37" s="93"/>
      <c r="H37" s="93"/>
      <c r="I37" s="96"/>
      <c r="J37" s="97" t="s">
        <v>19</v>
      </c>
      <c r="K37" s="93"/>
      <c r="L37" s="93"/>
      <c r="M37" s="98"/>
      <c r="N37" s="30"/>
    </row>
    <row r="38" spans="1:15" ht="43.9" customHeight="1" x14ac:dyDescent="0.2">
      <c r="A38" s="99" t="s">
        <v>26</v>
      </c>
      <c r="B38" s="100"/>
      <c r="C38" s="99" t="s">
        <v>20</v>
      </c>
      <c r="D38" s="101"/>
      <c r="E38" s="102"/>
      <c r="F38" s="99" t="s">
        <v>20</v>
      </c>
      <c r="G38" s="101"/>
      <c r="H38" s="101"/>
      <c r="I38" s="101"/>
      <c r="J38" s="103" t="s">
        <v>48</v>
      </c>
      <c r="K38" s="104"/>
      <c r="L38" s="104"/>
      <c r="M38" s="105"/>
      <c r="N38" s="30"/>
    </row>
    <row r="39" spans="1:15" ht="7.5" customHeight="1" x14ac:dyDescent="0.2">
      <c r="A39" s="81"/>
      <c r="B39" s="82"/>
      <c r="C39" s="82"/>
      <c r="D39" s="30"/>
      <c r="E39" s="30"/>
      <c r="F39" s="83"/>
      <c r="G39" s="83"/>
      <c r="H39" s="83"/>
      <c r="I39" s="82"/>
      <c r="J39" s="82"/>
      <c r="K39" s="82"/>
      <c r="L39" s="82"/>
      <c r="M39" s="82"/>
      <c r="N39" s="30"/>
    </row>
    <row r="40" spans="1:15" ht="18" customHeight="1" x14ac:dyDescent="0.2">
      <c r="A40" s="84" t="s">
        <v>24</v>
      </c>
      <c r="B40" s="85"/>
      <c r="C40" s="85"/>
      <c r="D40" s="86"/>
      <c r="E40" s="30"/>
      <c r="I40" s="84" t="s">
        <v>23</v>
      </c>
      <c r="J40" s="85"/>
      <c r="K40" s="85"/>
      <c r="L40" s="85"/>
      <c r="M40" s="86"/>
      <c r="N40" s="30"/>
      <c r="O40" s="55"/>
    </row>
    <row r="41" spans="1:15" ht="6.75" customHeight="1" x14ac:dyDescent="0.2">
      <c r="A41" s="87"/>
      <c r="B41" s="82"/>
      <c r="C41" s="82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30"/>
    </row>
    <row r="42" spans="1:15" ht="18" customHeight="1" x14ac:dyDescent="0.2">
      <c r="N42" s="30"/>
    </row>
  </sheetData>
  <mergeCells count="71">
    <mergeCell ref="A39:C39"/>
    <mergeCell ref="F39:M39"/>
    <mergeCell ref="A40:D40"/>
    <mergeCell ref="I40:M40"/>
    <mergeCell ref="A41:M41"/>
    <mergeCell ref="A37:B37"/>
    <mergeCell ref="C37:E37"/>
    <mergeCell ref="F37:I37"/>
    <mergeCell ref="J37:M37"/>
    <mergeCell ref="A38:B38"/>
    <mergeCell ref="C38:E38"/>
    <mergeCell ref="F38:I38"/>
    <mergeCell ref="J38:M38"/>
    <mergeCell ref="A34:J36"/>
    <mergeCell ref="B28:F28"/>
    <mergeCell ref="G28:H28"/>
    <mergeCell ref="K28:M28"/>
    <mergeCell ref="B29:H29"/>
    <mergeCell ref="K29:M29"/>
    <mergeCell ref="B30:H30"/>
    <mergeCell ref="K30:M30"/>
    <mergeCell ref="B31:H31"/>
    <mergeCell ref="K31:M31"/>
    <mergeCell ref="B32:H32"/>
    <mergeCell ref="K32:M32"/>
    <mergeCell ref="A33:J33"/>
    <mergeCell ref="E26:F26"/>
    <mergeCell ref="G26:H26"/>
    <mergeCell ref="K26:M26"/>
    <mergeCell ref="E27:F27"/>
    <mergeCell ref="G27:H27"/>
    <mergeCell ref="K27:M27"/>
    <mergeCell ref="E24:F24"/>
    <mergeCell ref="G24:H24"/>
    <mergeCell ref="K24:M24"/>
    <mergeCell ref="E25:F25"/>
    <mergeCell ref="G25:H25"/>
    <mergeCell ref="K25:M25"/>
    <mergeCell ref="E22:F22"/>
    <mergeCell ref="G22:H22"/>
    <mergeCell ref="K22:M22"/>
    <mergeCell ref="E23:F23"/>
    <mergeCell ref="G23:H23"/>
    <mergeCell ref="K23:M23"/>
    <mergeCell ref="E20:F20"/>
    <mergeCell ref="G20:H20"/>
    <mergeCell ref="K20:M20"/>
    <mergeCell ref="E21:F21"/>
    <mergeCell ref="G21:H21"/>
    <mergeCell ref="K21:M21"/>
    <mergeCell ref="E18:F18"/>
    <mergeCell ref="G18:H18"/>
    <mergeCell ref="K18:M18"/>
    <mergeCell ref="E19:F19"/>
    <mergeCell ref="G19:H19"/>
    <mergeCell ref="K19:M19"/>
    <mergeCell ref="B17:D17"/>
    <mergeCell ref="E17:F17"/>
    <mergeCell ref="G17:H17"/>
    <mergeCell ref="K17:M17"/>
    <mergeCell ref="F1:M1"/>
    <mergeCell ref="A8:D8"/>
    <mergeCell ref="F8:L8"/>
    <mergeCell ref="A10:E10"/>
    <mergeCell ref="A11:E11"/>
    <mergeCell ref="A12:C12"/>
    <mergeCell ref="F15:M15"/>
    <mergeCell ref="B16:D16"/>
    <mergeCell ref="E16:F16"/>
    <mergeCell ref="G16:H16"/>
    <mergeCell ref="K16:M16"/>
  </mergeCells>
  <conditionalFormatting sqref="A8 F8:H8 A16:B16 G16 I16:M16 A33">
    <cfRule type="expression" dxfId="32" priority="5" stopIfTrue="1">
      <formula>IF(#REF!="No Color",TRUE,FALSE)</formula>
    </cfRule>
    <cfRule type="expression" dxfId="31" priority="6" stopIfTrue="1">
      <formula>IF(#REF!="Red",TRUE,FALSE)</formula>
    </cfRule>
    <cfRule type="expression" dxfId="30" priority="7" stopIfTrue="1">
      <formula>IF(#REF!="Green",TRUE,FALSE)</formula>
    </cfRule>
  </conditionalFormatting>
  <conditionalFormatting sqref="A17:B17 I17:M17 A18:A27 A28:B32 I28:M32">
    <cfRule type="expression" dxfId="29" priority="11" stopIfTrue="1">
      <formula>MOD(ROW(),2)=1</formula>
    </cfRule>
  </conditionalFormatting>
  <conditionalFormatting sqref="A37:C37 F37:J37">
    <cfRule type="expression" dxfId="28" priority="2" stopIfTrue="1">
      <formula>IF(#REF!="No Color",TRUE,FALSE)</formula>
    </cfRule>
    <cfRule type="expression" dxfId="27" priority="3" stopIfTrue="1">
      <formula>IF(#REF!="Red",TRUE,FALSE)</formula>
    </cfRule>
    <cfRule type="expression" dxfId="26" priority="4" stopIfTrue="1">
      <formula>IF(#REF!="Green",TRUE,FALSE)</formula>
    </cfRule>
  </conditionalFormatting>
  <conditionalFormatting sqref="E17 G17 G28">
    <cfRule type="expression" dxfId="25" priority="1" stopIfTrue="1">
      <formula>MOD(ROW(),2)=1</formula>
    </cfRule>
  </conditionalFormatting>
  <conditionalFormatting sqref="F1:M1">
    <cfRule type="expression" dxfId="24" priority="8" stopIfTrue="1">
      <formula>IF(#REF!="No Color",TRUE,FALSE)</formula>
    </cfRule>
    <cfRule type="expression" dxfId="23" priority="9" stopIfTrue="1">
      <formula>IF(#REF!="Red",TRUE,FALSE)</formula>
    </cfRule>
    <cfRule type="expression" dxfId="22" priority="10" stopIfTrue="1">
      <formula>IF(#REF!="Green",TRUE,FALSE)</formula>
    </cfRule>
  </conditionalFormatting>
  <printOptions horizontalCentered="1"/>
  <pageMargins left="0.51181102362204722" right="0.11811023622047245" top="0.15748031496062992" bottom="0.11811023622047245" header="0" footer="0"/>
  <pageSetup scale="85" fitToWidth="0" orientation="landscape" r:id="rId1"/>
  <headerFooter>
    <oddFooter>&amp;LGTAM JSC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BE9D1-9466-47A2-A32F-7923C5510C04}">
  <dimension ref="A1:O58"/>
  <sheetViews>
    <sheetView showGridLines="0" topLeftCell="A12" zoomScaleNormal="100" workbookViewId="0">
      <selection activeCell="Q20" sqref="Q20"/>
    </sheetView>
  </sheetViews>
  <sheetFormatPr defaultColWidth="14.42578125" defaultRowHeight="15" customHeight="1" x14ac:dyDescent="0.2"/>
  <cols>
    <col min="1" max="1" width="7.5703125" style="31" customWidth="1"/>
    <col min="2" max="2" width="17.5703125" style="31" customWidth="1"/>
    <col min="3" max="3" width="20.85546875" style="31" customWidth="1"/>
    <col min="4" max="4" width="16.7109375" style="31" customWidth="1"/>
    <col min="5" max="5" width="11.42578125" style="31" customWidth="1"/>
    <col min="6" max="6" width="15.85546875" style="31" customWidth="1"/>
    <col min="7" max="7" width="3.7109375" style="31" customWidth="1"/>
    <col min="8" max="8" width="6.7109375" style="31" customWidth="1"/>
    <col min="9" max="9" width="14.140625" style="31" customWidth="1"/>
    <col min="10" max="10" width="13.28515625" style="31" customWidth="1"/>
    <col min="11" max="11" width="12.42578125" style="31" customWidth="1"/>
    <col min="12" max="12" width="5.85546875" style="31" customWidth="1"/>
    <col min="13" max="13" width="16.42578125" style="31" customWidth="1"/>
    <col min="14" max="14" width="14" style="31" customWidth="1"/>
    <col min="15" max="16384" width="14.42578125" style="31"/>
  </cols>
  <sheetData>
    <row r="1" spans="1:14" ht="33.6" customHeight="1" x14ac:dyDescent="0.2">
      <c r="A1" s="28"/>
      <c r="B1" s="29"/>
      <c r="C1" s="29"/>
      <c r="D1" s="29"/>
      <c r="E1" s="29"/>
      <c r="F1" s="120" t="s">
        <v>33</v>
      </c>
      <c r="G1" s="120"/>
      <c r="H1" s="120"/>
      <c r="I1" s="120"/>
      <c r="J1" s="120"/>
      <c r="K1" s="120"/>
      <c r="L1" s="120"/>
      <c r="M1" s="120"/>
      <c r="N1" s="30"/>
    </row>
    <row r="2" spans="1:14" ht="15" customHeight="1" x14ac:dyDescent="0.2">
      <c r="A2" s="30"/>
      <c r="B2" s="30"/>
      <c r="C2" s="30"/>
      <c r="D2" s="32"/>
      <c r="E2" s="30"/>
      <c r="F2" s="30"/>
      <c r="G2" s="30"/>
      <c r="H2" s="30"/>
      <c r="I2" s="30"/>
      <c r="J2" s="30"/>
      <c r="K2" s="30" t="s">
        <v>0</v>
      </c>
      <c r="L2" s="30"/>
      <c r="M2" s="33">
        <v>46119</v>
      </c>
      <c r="N2" s="30"/>
    </row>
    <row r="3" spans="1:14" ht="15" customHeight="1" x14ac:dyDescent="0.2">
      <c r="A3" s="30"/>
      <c r="B3" s="30"/>
      <c r="C3" s="30"/>
      <c r="D3" s="30"/>
      <c r="E3" s="30"/>
      <c r="F3" s="30"/>
      <c r="G3" s="30"/>
      <c r="H3" s="30"/>
      <c r="I3" s="30"/>
      <c r="J3" s="30"/>
      <c r="K3" s="30" t="s">
        <v>1</v>
      </c>
      <c r="L3" s="30"/>
      <c r="M3" s="34" t="s">
        <v>79</v>
      </c>
      <c r="N3" s="30"/>
    </row>
    <row r="4" spans="1:14" ht="15" customHeight="1" x14ac:dyDescent="0.2">
      <c r="A4" s="30"/>
      <c r="B4" s="30"/>
      <c r="C4" s="30"/>
      <c r="D4" s="30"/>
      <c r="E4" s="30"/>
      <c r="F4" s="30"/>
      <c r="G4" s="30"/>
      <c r="H4" s="30"/>
      <c r="I4" s="30"/>
      <c r="J4" s="30"/>
      <c r="K4" s="30" t="s">
        <v>80</v>
      </c>
      <c r="L4" s="30"/>
      <c r="M4" s="35" t="s">
        <v>102</v>
      </c>
      <c r="N4" s="30"/>
    </row>
    <row r="5" spans="1:14" ht="15" customHeight="1" x14ac:dyDescent="0.2">
      <c r="A5" s="30"/>
      <c r="B5" s="30"/>
      <c r="C5" s="30"/>
      <c r="D5" s="30"/>
      <c r="E5" s="30"/>
      <c r="F5" s="30"/>
      <c r="G5" s="30"/>
      <c r="H5" s="30"/>
      <c r="I5" s="30"/>
      <c r="J5" s="30"/>
      <c r="K5" s="30" t="s">
        <v>31</v>
      </c>
      <c r="L5" s="30"/>
      <c r="M5" s="35"/>
      <c r="N5" s="30"/>
    </row>
    <row r="6" spans="1:14" ht="0.75" customHeight="1" x14ac:dyDescent="0.2">
      <c r="A6" s="30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6"/>
      <c r="N6" s="30"/>
    </row>
    <row r="7" spans="1:14" ht="15" hidden="1" customHeight="1" x14ac:dyDescent="0.2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6"/>
      <c r="N7" s="30"/>
    </row>
    <row r="8" spans="1:14" ht="15" customHeight="1" x14ac:dyDescent="0.2">
      <c r="A8" s="90" t="s">
        <v>25</v>
      </c>
      <c r="B8" s="121"/>
      <c r="C8" s="121"/>
      <c r="D8" s="121"/>
      <c r="E8" s="30"/>
      <c r="F8" s="121" t="s">
        <v>34</v>
      </c>
      <c r="G8" s="121"/>
      <c r="H8" s="121"/>
      <c r="I8" s="121"/>
      <c r="J8" s="121"/>
      <c r="K8" s="121"/>
      <c r="L8" s="121"/>
      <c r="M8" s="36"/>
      <c r="N8" s="30"/>
    </row>
    <row r="9" spans="1:14" ht="15" customHeight="1" x14ac:dyDescent="0.2">
      <c r="A9" s="30" t="s">
        <v>21</v>
      </c>
      <c r="B9" s="30"/>
      <c r="C9" s="30"/>
      <c r="D9" s="30"/>
      <c r="E9" s="30"/>
      <c r="F9" s="37" t="s">
        <v>22</v>
      </c>
      <c r="G9" s="37"/>
      <c r="H9" s="37"/>
      <c r="I9" s="37"/>
      <c r="J9" s="37"/>
      <c r="K9" s="37"/>
      <c r="L9" s="37"/>
      <c r="M9" s="37"/>
      <c r="N9" s="30"/>
    </row>
    <row r="10" spans="1:14" ht="15" customHeight="1" x14ac:dyDescent="0.2">
      <c r="A10" s="122" t="s">
        <v>64</v>
      </c>
      <c r="B10" s="81"/>
      <c r="C10" s="81"/>
      <c r="D10" s="81"/>
      <c r="E10" s="81"/>
      <c r="F10" s="37" t="s">
        <v>65</v>
      </c>
      <c r="G10" s="37"/>
      <c r="H10" s="37"/>
      <c r="I10" s="37"/>
      <c r="J10" s="37"/>
      <c r="K10" s="37"/>
      <c r="L10" s="37"/>
      <c r="M10" s="37"/>
      <c r="N10" s="30"/>
    </row>
    <row r="11" spans="1:14" ht="27.75" customHeight="1" x14ac:dyDescent="0.2">
      <c r="A11" s="122" t="s">
        <v>49</v>
      </c>
      <c r="B11" s="81"/>
      <c r="C11" s="81"/>
      <c r="D11" s="81"/>
      <c r="E11" s="81"/>
      <c r="F11" s="37" t="s">
        <v>45</v>
      </c>
      <c r="G11" s="37"/>
      <c r="H11" s="37"/>
      <c r="I11" s="37"/>
      <c r="J11" s="37"/>
      <c r="K11" s="37"/>
      <c r="L11" s="37"/>
      <c r="M11" s="37"/>
      <c r="N11" s="30"/>
    </row>
    <row r="12" spans="1:14" ht="15" customHeight="1" x14ac:dyDescent="0.2">
      <c r="A12" s="81" t="s">
        <v>50</v>
      </c>
      <c r="B12" s="81"/>
      <c r="C12" s="81"/>
      <c r="D12" s="28"/>
      <c r="E12" s="28"/>
      <c r="F12" s="30" t="s">
        <v>46</v>
      </c>
      <c r="G12" s="38" t="s">
        <v>47</v>
      </c>
      <c r="H12" s="30"/>
      <c r="K12" s="39"/>
      <c r="L12" s="39"/>
      <c r="M12" s="39"/>
      <c r="N12" s="30"/>
    </row>
    <row r="13" spans="1:14" ht="15" customHeight="1" x14ac:dyDescent="0.2">
      <c r="A13" s="30" t="s">
        <v>27</v>
      </c>
      <c r="B13" s="30"/>
      <c r="C13" s="30"/>
      <c r="D13" s="30"/>
      <c r="E13" s="30"/>
      <c r="F13" s="37" t="s">
        <v>42</v>
      </c>
      <c r="G13" s="40" t="s">
        <v>51</v>
      </c>
      <c r="H13" s="37"/>
      <c r="I13" s="37"/>
      <c r="J13" s="37"/>
      <c r="K13" s="37"/>
      <c r="L13" s="37"/>
      <c r="M13" s="37"/>
      <c r="N13" s="30"/>
    </row>
    <row r="14" spans="1:14" ht="15" customHeight="1" x14ac:dyDescent="0.2">
      <c r="A14" s="30" t="s">
        <v>28</v>
      </c>
      <c r="B14" s="30"/>
      <c r="C14" s="30"/>
      <c r="D14" s="30"/>
      <c r="E14" s="30"/>
      <c r="F14" s="37" t="s">
        <v>43</v>
      </c>
      <c r="G14" s="37"/>
      <c r="H14" s="37"/>
      <c r="I14" s="37"/>
      <c r="J14" s="37"/>
      <c r="K14" s="37"/>
      <c r="L14" s="37"/>
      <c r="M14" s="37"/>
      <c r="N14" s="30"/>
    </row>
    <row r="15" spans="1:14" ht="15" customHeight="1" x14ac:dyDescent="0.2">
      <c r="A15" s="30"/>
      <c r="B15" s="30"/>
      <c r="C15" s="30"/>
      <c r="D15" s="30"/>
      <c r="E15" s="30"/>
      <c r="F15" s="118" t="s">
        <v>29</v>
      </c>
      <c r="G15" s="118"/>
      <c r="H15" s="118"/>
      <c r="I15" s="118"/>
      <c r="J15" s="118"/>
      <c r="K15" s="118"/>
      <c r="L15" s="118"/>
      <c r="M15" s="118"/>
      <c r="N15" s="30"/>
    </row>
    <row r="16" spans="1:14" ht="15" customHeight="1" x14ac:dyDescent="0.2">
      <c r="A16" s="41" t="s">
        <v>3</v>
      </c>
      <c r="B16" s="41" t="s">
        <v>81</v>
      </c>
      <c r="C16" s="88" t="s">
        <v>4</v>
      </c>
      <c r="D16" s="89"/>
      <c r="E16" s="119" t="s">
        <v>63</v>
      </c>
      <c r="F16" s="119"/>
      <c r="G16" s="119" t="s">
        <v>44</v>
      </c>
      <c r="H16" s="119"/>
      <c r="I16" s="41" t="s">
        <v>5</v>
      </c>
      <c r="J16" s="41" t="s">
        <v>6</v>
      </c>
      <c r="K16" s="119" t="s">
        <v>7</v>
      </c>
      <c r="L16" s="119"/>
      <c r="M16" s="119"/>
      <c r="N16" s="30"/>
    </row>
    <row r="17" spans="1:14" s="44" customFormat="1" ht="50.25" customHeight="1" x14ac:dyDescent="0.2">
      <c r="A17" s="66">
        <v>1</v>
      </c>
      <c r="B17" s="68" t="s">
        <v>87</v>
      </c>
      <c r="C17" s="69" t="s">
        <v>82</v>
      </c>
      <c r="D17" s="70"/>
      <c r="E17" s="64" t="s">
        <v>83</v>
      </c>
      <c r="F17" s="64"/>
      <c r="G17" s="64" t="s">
        <v>84</v>
      </c>
      <c r="H17" s="64"/>
      <c r="I17" s="42">
        <f>8*6</f>
        <v>48</v>
      </c>
      <c r="J17" s="58">
        <v>51500</v>
      </c>
      <c r="K17" s="77">
        <f>J17*I17</f>
        <v>2472000</v>
      </c>
      <c r="L17" s="77"/>
      <c r="M17" s="77"/>
      <c r="N17" s="43"/>
    </row>
    <row r="18" spans="1:14" s="44" customFormat="1" ht="50.25" customHeight="1" x14ac:dyDescent="0.2">
      <c r="A18" s="66"/>
      <c r="B18" s="68"/>
      <c r="C18" s="69" t="s">
        <v>85</v>
      </c>
      <c r="D18" s="70"/>
      <c r="E18" s="64" t="s">
        <v>83</v>
      </c>
      <c r="F18" s="64"/>
      <c r="G18" s="64" t="s">
        <v>84</v>
      </c>
      <c r="H18" s="64"/>
      <c r="I18" s="42">
        <f>4*6</f>
        <v>24</v>
      </c>
      <c r="J18" s="58">
        <v>59000</v>
      </c>
      <c r="K18" s="77">
        <f t="shared" ref="K18:K20" si="0">J18*I18</f>
        <v>1416000</v>
      </c>
      <c r="L18" s="77"/>
      <c r="M18" s="77"/>
      <c r="N18" s="43"/>
    </row>
    <row r="19" spans="1:14" s="44" customFormat="1" ht="50.25" customHeight="1" x14ac:dyDescent="0.2">
      <c r="A19" s="66"/>
      <c r="B19" s="68"/>
      <c r="C19" s="69" t="s">
        <v>94</v>
      </c>
      <c r="D19" s="70"/>
      <c r="E19" s="64" t="s">
        <v>83</v>
      </c>
      <c r="F19" s="64"/>
      <c r="G19" s="64" t="s">
        <v>84</v>
      </c>
      <c r="H19" s="64"/>
      <c r="I19" s="42">
        <f>8*6</f>
        <v>48</v>
      </c>
      <c r="J19" s="58">
        <v>54000</v>
      </c>
      <c r="K19" s="77">
        <f t="shared" si="0"/>
        <v>2592000</v>
      </c>
      <c r="L19" s="77"/>
      <c r="M19" s="77"/>
      <c r="N19" s="43"/>
    </row>
    <row r="20" spans="1:14" s="44" customFormat="1" ht="50.25" customHeight="1" x14ac:dyDescent="0.2">
      <c r="A20" s="76"/>
      <c r="B20" s="75"/>
      <c r="C20" s="73" t="s">
        <v>86</v>
      </c>
      <c r="D20" s="74"/>
      <c r="E20" s="71" t="s">
        <v>83</v>
      </c>
      <c r="F20" s="71"/>
      <c r="G20" s="71" t="s">
        <v>84</v>
      </c>
      <c r="H20" s="71"/>
      <c r="I20" s="59">
        <f>4*6</f>
        <v>24</v>
      </c>
      <c r="J20" s="60">
        <v>57000</v>
      </c>
      <c r="K20" s="78">
        <f t="shared" si="0"/>
        <v>1368000</v>
      </c>
      <c r="L20" s="78"/>
      <c r="M20" s="78"/>
      <c r="N20" s="43"/>
    </row>
    <row r="21" spans="1:14" s="44" customFormat="1" ht="33.75" customHeight="1" x14ac:dyDescent="0.2">
      <c r="A21" s="65">
        <v>2</v>
      </c>
      <c r="B21" s="67" t="s">
        <v>101</v>
      </c>
      <c r="C21" s="79" t="s">
        <v>88</v>
      </c>
      <c r="D21" s="80"/>
      <c r="E21" s="64" t="s">
        <v>83</v>
      </c>
      <c r="F21" s="64"/>
      <c r="G21" s="64" t="s">
        <v>84</v>
      </c>
      <c r="H21" s="64"/>
      <c r="I21" s="61">
        <v>36</v>
      </c>
      <c r="J21" s="62">
        <v>55000</v>
      </c>
      <c r="K21" s="63">
        <f t="shared" ref="K21" si="1">J21*I21</f>
        <v>1980000</v>
      </c>
      <c r="L21" s="63"/>
      <c r="M21" s="63"/>
      <c r="N21" s="43"/>
    </row>
    <row r="22" spans="1:14" s="44" customFormat="1" ht="33.75" customHeight="1" x14ac:dyDescent="0.2">
      <c r="A22" s="66"/>
      <c r="B22" s="68"/>
      <c r="C22" s="69" t="s">
        <v>89</v>
      </c>
      <c r="D22" s="70"/>
      <c r="E22" s="64" t="s">
        <v>83</v>
      </c>
      <c r="F22" s="64"/>
      <c r="G22" s="64" t="s">
        <v>84</v>
      </c>
      <c r="H22" s="64"/>
      <c r="I22" s="42">
        <v>36</v>
      </c>
      <c r="J22" s="58">
        <v>215000</v>
      </c>
      <c r="K22" s="63">
        <f t="shared" ref="K22:K24" si="2">J22*I22</f>
        <v>7740000</v>
      </c>
      <c r="L22" s="63"/>
      <c r="M22" s="63"/>
      <c r="N22" s="43"/>
    </row>
    <row r="23" spans="1:14" s="44" customFormat="1" ht="33.75" customHeight="1" x14ac:dyDescent="0.2">
      <c r="A23" s="76"/>
      <c r="B23" s="75"/>
      <c r="C23" s="73" t="s">
        <v>90</v>
      </c>
      <c r="D23" s="74"/>
      <c r="E23" s="71" t="s">
        <v>83</v>
      </c>
      <c r="F23" s="71"/>
      <c r="G23" s="71" t="s">
        <v>84</v>
      </c>
      <c r="H23" s="71"/>
      <c r="I23" s="59">
        <v>36</v>
      </c>
      <c r="J23" s="60">
        <v>315000</v>
      </c>
      <c r="K23" s="72">
        <f t="shared" si="2"/>
        <v>11340000</v>
      </c>
      <c r="L23" s="72"/>
      <c r="M23" s="72"/>
      <c r="N23" s="43"/>
    </row>
    <row r="24" spans="1:14" s="44" customFormat="1" ht="39" customHeight="1" x14ac:dyDescent="0.2">
      <c r="A24" s="65">
        <v>3</v>
      </c>
      <c r="B24" s="67" t="s">
        <v>91</v>
      </c>
      <c r="C24" s="69" t="s">
        <v>93</v>
      </c>
      <c r="D24" s="70"/>
      <c r="E24" s="64" t="s">
        <v>83</v>
      </c>
      <c r="F24" s="64"/>
      <c r="G24" s="64" t="s">
        <v>84</v>
      </c>
      <c r="H24" s="64"/>
      <c r="I24" s="42">
        <v>24</v>
      </c>
      <c r="J24" s="58">
        <v>51500</v>
      </c>
      <c r="K24" s="63">
        <f t="shared" si="2"/>
        <v>1236000</v>
      </c>
      <c r="L24" s="63"/>
      <c r="M24" s="63"/>
      <c r="N24" s="43"/>
    </row>
    <row r="25" spans="1:14" s="44" customFormat="1" ht="39" customHeight="1" x14ac:dyDescent="0.2">
      <c r="A25" s="66"/>
      <c r="B25" s="68"/>
      <c r="C25" s="69" t="s">
        <v>94</v>
      </c>
      <c r="D25" s="70"/>
      <c r="E25" s="64" t="s">
        <v>83</v>
      </c>
      <c r="F25" s="64"/>
      <c r="G25" s="64" t="s">
        <v>84</v>
      </c>
      <c r="H25" s="64"/>
      <c r="I25" s="42">
        <v>24</v>
      </c>
      <c r="J25" s="58">
        <v>54000</v>
      </c>
      <c r="K25" s="63">
        <f t="shared" ref="K25:K28" si="3">J25*I25</f>
        <v>1296000</v>
      </c>
      <c r="L25" s="63"/>
      <c r="M25" s="63"/>
      <c r="N25" s="43"/>
    </row>
    <row r="26" spans="1:14" s="44" customFormat="1" ht="39" customHeight="1" x14ac:dyDescent="0.2">
      <c r="A26" s="66"/>
      <c r="B26" s="68"/>
      <c r="C26" s="69" t="s">
        <v>95</v>
      </c>
      <c r="D26" s="70"/>
      <c r="E26" s="64" t="s">
        <v>83</v>
      </c>
      <c r="F26" s="64"/>
      <c r="G26" s="64" t="s">
        <v>84</v>
      </c>
      <c r="H26" s="64"/>
      <c r="I26" s="42">
        <v>24</v>
      </c>
      <c r="J26" s="58">
        <v>39000</v>
      </c>
      <c r="K26" s="63">
        <f t="shared" si="3"/>
        <v>936000</v>
      </c>
      <c r="L26" s="63"/>
      <c r="M26" s="63"/>
      <c r="N26" s="43"/>
    </row>
    <row r="27" spans="1:14" s="44" customFormat="1" ht="39" customHeight="1" x14ac:dyDescent="0.2">
      <c r="A27" s="66"/>
      <c r="B27" s="68"/>
      <c r="C27" s="69" t="s">
        <v>96</v>
      </c>
      <c r="D27" s="70"/>
      <c r="E27" s="64" t="s">
        <v>83</v>
      </c>
      <c r="F27" s="64"/>
      <c r="G27" s="64" t="s">
        <v>84</v>
      </c>
      <c r="H27" s="64"/>
      <c r="I27" s="42">
        <v>24</v>
      </c>
      <c r="J27" s="58">
        <v>19700</v>
      </c>
      <c r="K27" s="63">
        <f t="shared" si="3"/>
        <v>472800</v>
      </c>
      <c r="L27" s="63"/>
      <c r="M27" s="63"/>
      <c r="N27" s="43"/>
    </row>
    <row r="28" spans="1:14" s="44" customFormat="1" ht="39" customHeight="1" x14ac:dyDescent="0.2">
      <c r="A28" s="76"/>
      <c r="B28" s="75"/>
      <c r="C28" s="73" t="s">
        <v>92</v>
      </c>
      <c r="D28" s="74"/>
      <c r="E28" s="71" t="s">
        <v>83</v>
      </c>
      <c r="F28" s="71"/>
      <c r="G28" s="71" t="s">
        <v>84</v>
      </c>
      <c r="H28" s="71"/>
      <c r="I28" s="59">
        <v>48</v>
      </c>
      <c r="J28" s="60">
        <v>31000</v>
      </c>
      <c r="K28" s="72">
        <f t="shared" si="3"/>
        <v>1488000</v>
      </c>
      <c r="L28" s="72"/>
      <c r="M28" s="72"/>
      <c r="N28" s="43"/>
    </row>
    <row r="29" spans="1:14" s="44" customFormat="1" ht="39.75" customHeight="1" x14ac:dyDescent="0.2">
      <c r="A29" s="65">
        <v>4</v>
      </c>
      <c r="B29" s="67" t="s">
        <v>97</v>
      </c>
      <c r="C29" s="69" t="s">
        <v>98</v>
      </c>
      <c r="D29" s="70"/>
      <c r="E29" s="64" t="s">
        <v>83</v>
      </c>
      <c r="F29" s="64"/>
      <c r="G29" s="64" t="s">
        <v>84</v>
      </c>
      <c r="H29" s="64"/>
      <c r="I29" s="42">
        <v>24</v>
      </c>
      <c r="J29" s="58">
        <v>27000</v>
      </c>
      <c r="K29" s="63">
        <f t="shared" ref="K29:K33" si="4">J29*I29</f>
        <v>648000</v>
      </c>
      <c r="L29" s="63"/>
      <c r="M29" s="63"/>
      <c r="N29" s="43"/>
    </row>
    <row r="30" spans="1:14" s="44" customFormat="1" ht="39.75" customHeight="1" x14ac:dyDescent="0.2">
      <c r="A30" s="66"/>
      <c r="B30" s="68"/>
      <c r="C30" s="69" t="s">
        <v>93</v>
      </c>
      <c r="D30" s="70"/>
      <c r="E30" s="64" t="s">
        <v>83</v>
      </c>
      <c r="F30" s="64"/>
      <c r="G30" s="64" t="s">
        <v>84</v>
      </c>
      <c r="H30" s="64"/>
      <c r="I30" s="42">
        <v>24</v>
      </c>
      <c r="J30" s="58">
        <v>51000</v>
      </c>
      <c r="K30" s="63">
        <f t="shared" si="4"/>
        <v>1224000</v>
      </c>
      <c r="L30" s="63"/>
      <c r="M30" s="63"/>
      <c r="N30" s="43"/>
    </row>
    <row r="31" spans="1:14" s="44" customFormat="1" ht="39.75" customHeight="1" x14ac:dyDescent="0.2">
      <c r="A31" s="66"/>
      <c r="B31" s="68"/>
      <c r="C31" s="69" t="s">
        <v>94</v>
      </c>
      <c r="D31" s="70"/>
      <c r="E31" s="64" t="s">
        <v>83</v>
      </c>
      <c r="F31" s="64"/>
      <c r="G31" s="64" t="s">
        <v>84</v>
      </c>
      <c r="H31" s="64"/>
      <c r="I31" s="42">
        <v>24</v>
      </c>
      <c r="J31" s="58">
        <v>54000</v>
      </c>
      <c r="K31" s="63">
        <f t="shared" si="4"/>
        <v>1296000</v>
      </c>
      <c r="L31" s="63"/>
      <c r="M31" s="63"/>
      <c r="N31" s="43"/>
    </row>
    <row r="32" spans="1:14" s="44" customFormat="1" ht="39.75" customHeight="1" x14ac:dyDescent="0.2">
      <c r="A32" s="66"/>
      <c r="B32" s="68"/>
      <c r="C32" s="69" t="s">
        <v>99</v>
      </c>
      <c r="D32" s="70"/>
      <c r="E32" s="64" t="s">
        <v>83</v>
      </c>
      <c r="F32" s="64"/>
      <c r="G32" s="64" t="s">
        <v>84</v>
      </c>
      <c r="H32" s="64"/>
      <c r="I32" s="42">
        <v>24</v>
      </c>
      <c r="J32" s="58">
        <v>63000</v>
      </c>
      <c r="K32" s="63">
        <f t="shared" si="4"/>
        <v>1512000</v>
      </c>
      <c r="L32" s="63"/>
      <c r="M32" s="63"/>
      <c r="N32" s="43"/>
    </row>
    <row r="33" spans="1:14" s="44" customFormat="1" ht="39.75" customHeight="1" x14ac:dyDescent="0.2">
      <c r="A33" s="66"/>
      <c r="B33" s="68"/>
      <c r="C33" s="69" t="s">
        <v>100</v>
      </c>
      <c r="D33" s="70"/>
      <c r="E33" s="64" t="s">
        <v>83</v>
      </c>
      <c r="F33" s="64"/>
      <c r="G33" s="64" t="s">
        <v>84</v>
      </c>
      <c r="H33" s="64"/>
      <c r="I33" s="42">
        <v>12</v>
      </c>
      <c r="J33" s="58">
        <v>56000</v>
      </c>
      <c r="K33" s="63">
        <f t="shared" si="4"/>
        <v>672000</v>
      </c>
      <c r="L33" s="63"/>
      <c r="M33" s="63"/>
      <c r="N33" s="43"/>
    </row>
    <row r="34" spans="1:14" s="44" customFormat="1" ht="21.75" hidden="1" customHeight="1" x14ac:dyDescent="0.2">
      <c r="A34" s="42"/>
      <c r="B34" s="24"/>
      <c r="C34" s="57"/>
      <c r="D34" s="46"/>
      <c r="E34" s="113"/>
      <c r="F34" s="114"/>
      <c r="G34" s="115"/>
      <c r="H34" s="116"/>
      <c r="I34" s="25"/>
      <c r="J34" s="47"/>
      <c r="K34" s="117"/>
      <c r="L34" s="117"/>
      <c r="M34" s="117"/>
      <c r="N34" s="43"/>
    </row>
    <row r="35" spans="1:14" s="44" customFormat="1" ht="18.75" hidden="1" customHeight="1" x14ac:dyDescent="0.2">
      <c r="A35" s="42"/>
      <c r="B35" s="24"/>
      <c r="C35" s="45"/>
      <c r="D35" s="46"/>
      <c r="E35" s="113"/>
      <c r="F35" s="114"/>
      <c r="G35" s="115"/>
      <c r="H35" s="116"/>
      <c r="I35" s="25"/>
      <c r="J35" s="47"/>
      <c r="K35" s="117"/>
      <c r="L35" s="117"/>
      <c r="M35" s="117"/>
      <c r="N35" s="43"/>
    </row>
    <row r="36" spans="1:14" s="44" customFormat="1" ht="18.75" hidden="1" customHeight="1" x14ac:dyDescent="0.2">
      <c r="A36" s="42"/>
      <c r="B36" s="24"/>
      <c r="C36" s="45"/>
      <c r="D36" s="46"/>
      <c r="E36" s="113"/>
      <c r="F36" s="114"/>
      <c r="G36" s="115"/>
      <c r="H36" s="116"/>
      <c r="I36" s="25"/>
      <c r="J36" s="47"/>
      <c r="K36" s="117"/>
      <c r="L36" s="117"/>
      <c r="M36" s="117"/>
      <c r="N36" s="43"/>
    </row>
    <row r="37" spans="1:14" s="44" customFormat="1" ht="18.75" hidden="1" customHeight="1" x14ac:dyDescent="0.2">
      <c r="A37" s="42"/>
      <c r="B37" s="24"/>
      <c r="C37" s="45"/>
      <c r="D37" s="46"/>
      <c r="E37" s="113"/>
      <c r="F37" s="114"/>
      <c r="G37" s="115"/>
      <c r="H37" s="116"/>
      <c r="I37" s="25"/>
      <c r="J37" s="47"/>
      <c r="K37" s="117"/>
      <c r="L37" s="117"/>
      <c r="M37" s="117"/>
      <c r="N37" s="43"/>
    </row>
    <row r="38" spans="1:14" s="44" customFormat="1" ht="18.75" hidden="1" customHeight="1" x14ac:dyDescent="0.2">
      <c r="A38" s="42"/>
      <c r="B38" s="24"/>
      <c r="C38" s="45"/>
      <c r="D38" s="46"/>
      <c r="E38" s="113"/>
      <c r="F38" s="114"/>
      <c r="G38" s="115"/>
      <c r="H38" s="116"/>
      <c r="I38" s="25"/>
      <c r="J38" s="47"/>
      <c r="K38" s="117"/>
      <c r="L38" s="117"/>
      <c r="M38" s="117"/>
      <c r="N38" s="43"/>
    </row>
    <row r="39" spans="1:14" s="44" customFormat="1" ht="18.75" hidden="1" customHeight="1" x14ac:dyDescent="0.2">
      <c r="A39" s="42"/>
      <c r="B39" s="24"/>
      <c r="C39" s="45"/>
      <c r="D39" s="46"/>
      <c r="E39" s="113"/>
      <c r="F39" s="114"/>
      <c r="G39" s="115"/>
      <c r="H39" s="116"/>
      <c r="I39" s="25"/>
      <c r="J39" s="47"/>
      <c r="K39" s="117"/>
      <c r="L39" s="117"/>
      <c r="M39" s="117"/>
      <c r="N39" s="43"/>
    </row>
    <row r="40" spans="1:14" s="44" customFormat="1" ht="18.75" hidden="1" customHeight="1" x14ac:dyDescent="0.2">
      <c r="A40" s="42"/>
      <c r="B40" s="24"/>
      <c r="C40" s="45"/>
      <c r="D40" s="46"/>
      <c r="E40" s="113"/>
      <c r="F40" s="114"/>
      <c r="G40" s="115"/>
      <c r="H40" s="116"/>
      <c r="I40" s="25"/>
      <c r="J40" s="47"/>
      <c r="K40" s="117"/>
      <c r="L40" s="117"/>
      <c r="M40" s="117"/>
      <c r="N40" s="43"/>
    </row>
    <row r="41" spans="1:14" s="44" customFormat="1" ht="18.75" hidden="1" customHeight="1" x14ac:dyDescent="0.2">
      <c r="A41" s="42"/>
      <c r="B41" s="24"/>
      <c r="C41" s="45"/>
      <c r="D41" s="46"/>
      <c r="E41" s="113"/>
      <c r="F41" s="114"/>
      <c r="G41" s="115"/>
      <c r="H41" s="116"/>
      <c r="I41" s="25"/>
      <c r="J41" s="47"/>
      <c r="K41" s="117"/>
      <c r="L41" s="117"/>
      <c r="M41" s="117"/>
      <c r="N41" s="43"/>
    </row>
    <row r="42" spans="1:14" s="44" customFormat="1" ht="18.75" hidden="1" customHeight="1" x14ac:dyDescent="0.2">
      <c r="A42" s="42"/>
      <c r="B42" s="24"/>
      <c r="C42" s="45"/>
      <c r="D42" s="46"/>
      <c r="E42" s="113"/>
      <c r="F42" s="114"/>
      <c r="G42" s="115"/>
      <c r="H42" s="116"/>
      <c r="I42" s="25"/>
      <c r="J42" s="47"/>
      <c r="K42" s="117"/>
      <c r="L42" s="117"/>
      <c r="M42" s="117"/>
      <c r="N42" s="43"/>
    </row>
    <row r="43" spans="1:14" s="44" customFormat="1" ht="18.75" hidden="1" customHeight="1" x14ac:dyDescent="0.2">
      <c r="A43" s="42"/>
      <c r="B43" s="24"/>
      <c r="C43" s="45"/>
      <c r="D43" s="46"/>
      <c r="E43" s="113"/>
      <c r="F43" s="114"/>
      <c r="G43" s="115"/>
      <c r="H43" s="116"/>
      <c r="I43" s="25"/>
      <c r="J43" s="47"/>
      <c r="K43" s="117"/>
      <c r="L43" s="117"/>
      <c r="M43" s="117"/>
      <c r="N43" s="43"/>
    </row>
    <row r="44" spans="1:14" ht="13.5" hidden="1" customHeight="1" x14ac:dyDescent="0.2">
      <c r="A44" s="48"/>
      <c r="B44" s="111"/>
      <c r="C44" s="111"/>
      <c r="D44" s="111"/>
      <c r="E44" s="111"/>
      <c r="F44" s="111"/>
      <c r="G44" s="107"/>
      <c r="H44" s="107"/>
      <c r="I44" s="48"/>
      <c r="J44" s="49"/>
      <c r="K44" s="112">
        <f t="shared" ref="K44" si="5">IF(OR(ISBLANK(I44),ISBLANK(J44)),0,I44*J44)</f>
        <v>0</v>
      </c>
      <c r="L44" s="112"/>
      <c r="M44" s="112"/>
      <c r="N44" s="30"/>
    </row>
    <row r="45" spans="1:14" ht="15" hidden="1" customHeight="1" x14ac:dyDescent="0.2">
      <c r="A45" s="50"/>
      <c r="B45" s="106"/>
      <c r="C45" s="106"/>
      <c r="D45" s="106"/>
      <c r="E45" s="106"/>
      <c r="F45" s="106"/>
      <c r="G45" s="106"/>
      <c r="H45" s="106"/>
      <c r="I45" s="49"/>
      <c r="J45" s="49"/>
      <c r="K45" s="112"/>
      <c r="L45" s="112"/>
      <c r="M45" s="112"/>
      <c r="N45" s="30"/>
    </row>
    <row r="46" spans="1:14" ht="15" hidden="1" customHeight="1" x14ac:dyDescent="0.2">
      <c r="A46" s="50"/>
      <c r="B46" s="106"/>
      <c r="C46" s="106"/>
      <c r="D46" s="106"/>
      <c r="E46" s="106"/>
      <c r="F46" s="106"/>
      <c r="G46" s="106"/>
      <c r="H46" s="106"/>
      <c r="I46" s="49"/>
      <c r="J46" s="49">
        <v>0</v>
      </c>
      <c r="K46" s="112">
        <f t="shared" ref="K46:K48" si="6">IF(OR(ISBLANK(I46),ISBLANK(J46)),0,I46*J46)</f>
        <v>0</v>
      </c>
      <c r="L46" s="112"/>
      <c r="M46" s="112"/>
      <c r="N46" s="30"/>
    </row>
    <row r="47" spans="1:14" ht="15" hidden="1" customHeight="1" x14ac:dyDescent="0.2">
      <c r="A47" s="50"/>
      <c r="B47" s="106"/>
      <c r="C47" s="106"/>
      <c r="D47" s="106"/>
      <c r="E47" s="106"/>
      <c r="F47" s="106"/>
      <c r="G47" s="106"/>
      <c r="H47" s="106"/>
      <c r="I47" s="49"/>
      <c r="J47" s="49">
        <v>0</v>
      </c>
      <c r="K47" s="107">
        <f t="shared" si="6"/>
        <v>0</v>
      </c>
      <c r="L47" s="107"/>
      <c r="M47" s="107"/>
      <c r="N47" s="30"/>
    </row>
    <row r="48" spans="1:14" ht="15" hidden="1" customHeight="1" x14ac:dyDescent="0.2">
      <c r="A48" s="50"/>
      <c r="B48" s="106"/>
      <c r="C48" s="106"/>
      <c r="D48" s="106"/>
      <c r="E48" s="106"/>
      <c r="F48" s="106"/>
      <c r="G48" s="106"/>
      <c r="H48" s="106"/>
      <c r="I48" s="49"/>
      <c r="J48" s="49">
        <v>0</v>
      </c>
      <c r="K48" s="107">
        <f t="shared" si="6"/>
        <v>0</v>
      </c>
      <c r="L48" s="107"/>
      <c r="M48" s="107"/>
      <c r="N48" s="30"/>
    </row>
    <row r="49" spans="1:15" ht="16.5" customHeight="1" x14ac:dyDescent="0.2">
      <c r="A49" s="108" t="s">
        <v>12</v>
      </c>
      <c r="B49" s="108"/>
      <c r="C49" s="108"/>
      <c r="D49" s="108"/>
      <c r="E49" s="108"/>
      <c r="F49" s="108"/>
      <c r="G49" s="108"/>
      <c r="H49" s="108"/>
      <c r="I49" s="108"/>
      <c r="J49" s="108"/>
      <c r="K49" s="53" t="s">
        <v>8</v>
      </c>
      <c r="L49" s="53"/>
      <c r="M49" s="54">
        <f>SUM(K17:K48)</f>
        <v>39688800</v>
      </c>
      <c r="N49" s="30"/>
    </row>
    <row r="50" spans="1:15" ht="15" customHeight="1" x14ac:dyDescent="0.2">
      <c r="A50" s="109"/>
      <c r="B50" s="109"/>
      <c r="C50" s="109"/>
      <c r="D50" s="109"/>
      <c r="E50" s="109"/>
      <c r="F50" s="109"/>
      <c r="G50" s="109"/>
      <c r="H50" s="109"/>
      <c r="I50" s="109"/>
      <c r="J50" s="109"/>
      <c r="K50" s="53" t="s">
        <v>9</v>
      </c>
      <c r="L50" s="53"/>
      <c r="M50" s="54"/>
      <c r="N50" s="30"/>
    </row>
    <row r="51" spans="1:15" ht="15" customHeight="1" x14ac:dyDescent="0.2">
      <c r="A51" s="109"/>
      <c r="B51" s="109"/>
      <c r="C51" s="109"/>
      <c r="D51" s="109"/>
      <c r="E51" s="109"/>
      <c r="F51" s="109"/>
      <c r="G51" s="109"/>
      <c r="H51" s="109"/>
      <c r="I51" s="109"/>
      <c r="J51" s="109"/>
      <c r="K51" s="53" t="s">
        <v>32</v>
      </c>
      <c r="L51" s="56">
        <v>0.1</v>
      </c>
      <c r="M51" s="54">
        <f>(M49-M50)*L51</f>
        <v>3968880</v>
      </c>
      <c r="N51" s="30"/>
    </row>
    <row r="52" spans="1:15" ht="15" customHeight="1" x14ac:dyDescent="0.2">
      <c r="A52" s="110"/>
      <c r="B52" s="110"/>
      <c r="C52" s="110"/>
      <c r="D52" s="110"/>
      <c r="E52" s="110"/>
      <c r="F52" s="110"/>
      <c r="G52" s="110"/>
      <c r="H52" s="110"/>
      <c r="I52" s="110"/>
      <c r="J52" s="110"/>
      <c r="K52" s="53" t="s">
        <v>10</v>
      </c>
      <c r="L52" s="53"/>
      <c r="M52" s="54">
        <f>M49-M50+M51</f>
        <v>43657680</v>
      </c>
      <c r="N52" s="30"/>
    </row>
    <row r="53" spans="1:15" ht="17.25" customHeight="1" x14ac:dyDescent="0.2">
      <c r="A53" s="90" t="s">
        <v>15</v>
      </c>
      <c r="B53" s="91"/>
      <c r="C53" s="92" t="s">
        <v>16</v>
      </c>
      <c r="D53" s="93"/>
      <c r="E53" s="94"/>
      <c r="F53" s="95" t="s">
        <v>17</v>
      </c>
      <c r="G53" s="93"/>
      <c r="H53" s="93"/>
      <c r="I53" s="96"/>
      <c r="J53" s="97" t="s">
        <v>19</v>
      </c>
      <c r="K53" s="93"/>
      <c r="L53" s="93"/>
      <c r="M53" s="98"/>
      <c r="N53" s="30"/>
    </row>
    <row r="54" spans="1:15" ht="43.9" customHeight="1" x14ac:dyDescent="0.2">
      <c r="A54" s="99" t="s">
        <v>26</v>
      </c>
      <c r="B54" s="100"/>
      <c r="C54" s="99" t="s">
        <v>20</v>
      </c>
      <c r="D54" s="101"/>
      <c r="E54" s="102"/>
      <c r="F54" s="99" t="s">
        <v>20</v>
      </c>
      <c r="G54" s="101"/>
      <c r="H54" s="101"/>
      <c r="I54" s="101"/>
      <c r="J54" s="103" t="s">
        <v>48</v>
      </c>
      <c r="K54" s="104"/>
      <c r="L54" s="104"/>
      <c r="M54" s="105"/>
      <c r="N54" s="30"/>
    </row>
    <row r="55" spans="1:15" ht="7.5" customHeight="1" x14ac:dyDescent="0.2">
      <c r="A55" s="81"/>
      <c r="B55" s="82"/>
      <c r="C55" s="82"/>
      <c r="D55" s="30"/>
      <c r="E55" s="30"/>
      <c r="F55" s="83"/>
      <c r="G55" s="83"/>
      <c r="H55" s="83"/>
      <c r="I55" s="82"/>
      <c r="J55" s="82"/>
      <c r="K55" s="82"/>
      <c r="L55" s="82"/>
      <c r="M55" s="82"/>
      <c r="N55" s="30"/>
    </row>
    <row r="56" spans="1:15" ht="18" customHeight="1" x14ac:dyDescent="0.2">
      <c r="A56" s="84" t="s">
        <v>24</v>
      </c>
      <c r="B56" s="85"/>
      <c r="C56" s="85"/>
      <c r="D56" s="86"/>
      <c r="E56" s="30"/>
      <c r="I56" s="84" t="s">
        <v>23</v>
      </c>
      <c r="J56" s="85"/>
      <c r="K56" s="85"/>
      <c r="L56" s="85"/>
      <c r="M56" s="86"/>
      <c r="N56" s="30"/>
      <c r="O56" s="55"/>
    </row>
    <row r="57" spans="1:15" ht="6.75" customHeight="1" x14ac:dyDescent="0.2">
      <c r="A57" s="87"/>
      <c r="B57" s="82"/>
      <c r="C57" s="82"/>
      <c r="D57" s="82"/>
      <c r="E57" s="82"/>
      <c r="F57" s="82"/>
      <c r="G57" s="82"/>
      <c r="H57" s="82"/>
      <c r="I57" s="82"/>
      <c r="J57" s="82"/>
      <c r="K57" s="82"/>
      <c r="L57" s="82"/>
      <c r="M57" s="82"/>
      <c r="N57" s="30"/>
    </row>
    <row r="58" spans="1:15" ht="18" customHeight="1" x14ac:dyDescent="0.2">
      <c r="N58" s="30"/>
    </row>
  </sheetData>
  <mergeCells count="143">
    <mergeCell ref="F15:M15"/>
    <mergeCell ref="E16:F16"/>
    <mergeCell ref="G16:H16"/>
    <mergeCell ref="K16:M16"/>
    <mergeCell ref="E17:F17"/>
    <mergeCell ref="G17:H17"/>
    <mergeCell ref="K17:M17"/>
    <mergeCell ref="B17:B20"/>
    <mergeCell ref="F1:M1"/>
    <mergeCell ref="A8:D8"/>
    <mergeCell ref="F8:L8"/>
    <mergeCell ref="A10:E10"/>
    <mergeCell ref="A11:E11"/>
    <mergeCell ref="A12:C12"/>
    <mergeCell ref="E36:F36"/>
    <mergeCell ref="G36:H36"/>
    <mergeCell ref="K36:M36"/>
    <mergeCell ref="E37:F37"/>
    <mergeCell ref="G37:H37"/>
    <mergeCell ref="K37:M37"/>
    <mergeCell ref="E34:F34"/>
    <mergeCell ref="G34:H34"/>
    <mergeCell ref="K34:M34"/>
    <mergeCell ref="E35:F35"/>
    <mergeCell ref="G35:H35"/>
    <mergeCell ref="K35:M35"/>
    <mergeCell ref="E40:F40"/>
    <mergeCell ref="G40:H40"/>
    <mergeCell ref="K40:M40"/>
    <mergeCell ref="E41:F41"/>
    <mergeCell ref="G41:H41"/>
    <mergeCell ref="K41:M41"/>
    <mergeCell ref="E38:F38"/>
    <mergeCell ref="G38:H38"/>
    <mergeCell ref="K38:M38"/>
    <mergeCell ref="E39:F39"/>
    <mergeCell ref="G39:H39"/>
    <mergeCell ref="K39:M39"/>
    <mergeCell ref="B44:F44"/>
    <mergeCell ref="G44:H44"/>
    <mergeCell ref="K44:M44"/>
    <mergeCell ref="B45:H45"/>
    <mergeCell ref="K45:M45"/>
    <mergeCell ref="B46:H46"/>
    <mergeCell ref="K46:M46"/>
    <mergeCell ref="E42:F42"/>
    <mergeCell ref="G42:H42"/>
    <mergeCell ref="K42:M42"/>
    <mergeCell ref="E43:F43"/>
    <mergeCell ref="G43:H43"/>
    <mergeCell ref="K43:M43"/>
    <mergeCell ref="A55:C55"/>
    <mergeCell ref="F55:M55"/>
    <mergeCell ref="A56:D56"/>
    <mergeCell ref="I56:M56"/>
    <mergeCell ref="A57:M57"/>
    <mergeCell ref="C16:D16"/>
    <mergeCell ref="C17:D17"/>
    <mergeCell ref="C18:D18"/>
    <mergeCell ref="C19:D19"/>
    <mergeCell ref="C20:D20"/>
    <mergeCell ref="A53:B53"/>
    <mergeCell ref="C53:E53"/>
    <mergeCell ref="F53:I53"/>
    <mergeCell ref="J53:M53"/>
    <mergeCell ref="A54:B54"/>
    <mergeCell ref="C54:E54"/>
    <mergeCell ref="F54:I54"/>
    <mergeCell ref="J54:M54"/>
    <mergeCell ref="B47:H47"/>
    <mergeCell ref="K47:M47"/>
    <mergeCell ref="B48:H48"/>
    <mergeCell ref="K48:M48"/>
    <mergeCell ref="A49:J49"/>
    <mergeCell ref="A50:J52"/>
    <mergeCell ref="K18:M18"/>
    <mergeCell ref="K19:M19"/>
    <mergeCell ref="K20:M20"/>
    <mergeCell ref="C23:D23"/>
    <mergeCell ref="C24:D24"/>
    <mergeCell ref="E21:F21"/>
    <mergeCell ref="E22:F22"/>
    <mergeCell ref="E23:F23"/>
    <mergeCell ref="E24:F24"/>
    <mergeCell ref="C21:D21"/>
    <mergeCell ref="C22:D22"/>
    <mergeCell ref="E18:F18"/>
    <mergeCell ref="E19:F19"/>
    <mergeCell ref="E20:F20"/>
    <mergeCell ref="G18:H18"/>
    <mergeCell ref="G19:H19"/>
    <mergeCell ref="G20:H20"/>
    <mergeCell ref="C25:D25"/>
    <mergeCell ref="C26:D26"/>
    <mergeCell ref="C27:D27"/>
    <mergeCell ref="C28:D28"/>
    <mergeCell ref="B21:B23"/>
    <mergeCell ref="A21:A23"/>
    <mergeCell ref="A24:A28"/>
    <mergeCell ref="B24:B28"/>
    <mergeCell ref="A17:A20"/>
    <mergeCell ref="E25:F25"/>
    <mergeCell ref="E26:F26"/>
    <mergeCell ref="E27:F27"/>
    <mergeCell ref="E28:F28"/>
    <mergeCell ref="G21:H21"/>
    <mergeCell ref="G22:H22"/>
    <mergeCell ref="G23:H23"/>
    <mergeCell ref="G24:H24"/>
    <mergeCell ref="G25:H25"/>
    <mergeCell ref="G26:H26"/>
    <mergeCell ref="G27:H27"/>
    <mergeCell ref="G28:H28"/>
    <mergeCell ref="K21:M21"/>
    <mergeCell ref="K22:M22"/>
    <mergeCell ref="K23:M23"/>
    <mergeCell ref="K24:M24"/>
    <mergeCell ref="K25:M25"/>
    <mergeCell ref="K26:M26"/>
    <mergeCell ref="K27:M27"/>
    <mergeCell ref="K28:M28"/>
    <mergeCell ref="A29:A33"/>
    <mergeCell ref="B29:B33"/>
    <mergeCell ref="E29:F29"/>
    <mergeCell ref="E30:F30"/>
    <mergeCell ref="E31:F31"/>
    <mergeCell ref="E32:F32"/>
    <mergeCell ref="E33:F33"/>
    <mergeCell ref="C29:D29"/>
    <mergeCell ref="C30:D30"/>
    <mergeCell ref="C31:D31"/>
    <mergeCell ref="C32:D32"/>
    <mergeCell ref="C33:D33"/>
    <mergeCell ref="K29:M29"/>
    <mergeCell ref="K30:M30"/>
    <mergeCell ref="K31:M31"/>
    <mergeCell ref="K32:M32"/>
    <mergeCell ref="K33:M33"/>
    <mergeCell ref="G29:H29"/>
    <mergeCell ref="G30:H30"/>
    <mergeCell ref="G31:H31"/>
    <mergeCell ref="G32:H32"/>
    <mergeCell ref="G33:H33"/>
  </mergeCells>
  <conditionalFormatting sqref="A8 F8:H8 A16:B16 G16 I16:M16 A49">
    <cfRule type="expression" dxfId="21" priority="5" stopIfTrue="1">
      <formula>IF(#REF!="No Color",TRUE,FALSE)</formula>
    </cfRule>
    <cfRule type="expression" dxfId="20" priority="6" stopIfTrue="1">
      <formula>IF(#REF!="Red",TRUE,FALSE)</formula>
    </cfRule>
    <cfRule type="expression" dxfId="19" priority="7" stopIfTrue="1">
      <formula>IF(#REF!="Green",TRUE,FALSE)</formula>
    </cfRule>
  </conditionalFormatting>
  <conditionalFormatting sqref="A17:C17 I17:M33 C18:C20 A21:C21 C22:C23 A24:C24 C25:C28 A29:C29 C30:C34 A34:A43 A44:B48 I44:M48">
    <cfRule type="expression" dxfId="18" priority="11" stopIfTrue="1">
      <formula>MOD(ROW(),2)=1</formula>
    </cfRule>
  </conditionalFormatting>
  <conditionalFormatting sqref="A53:C53 F53:J53">
    <cfRule type="expression" dxfId="17" priority="2" stopIfTrue="1">
      <formula>IF(#REF!="No Color",TRUE,FALSE)</formula>
    </cfRule>
    <cfRule type="expression" dxfId="16" priority="3" stopIfTrue="1">
      <formula>IF(#REF!="Red",TRUE,FALSE)</formula>
    </cfRule>
    <cfRule type="expression" dxfId="15" priority="4" stopIfTrue="1">
      <formula>IF(#REF!="Green",TRUE,FALSE)</formula>
    </cfRule>
  </conditionalFormatting>
  <conditionalFormatting sqref="E17:E33 G17:G33 G44">
    <cfRule type="expression" dxfId="14" priority="1" stopIfTrue="1">
      <formula>MOD(ROW(),2)=1</formula>
    </cfRule>
  </conditionalFormatting>
  <conditionalFormatting sqref="F1:M1">
    <cfRule type="expression" dxfId="13" priority="8" stopIfTrue="1">
      <formula>IF(#REF!="No Color",TRUE,FALSE)</formula>
    </cfRule>
    <cfRule type="expression" dxfId="12" priority="9" stopIfTrue="1">
      <formula>IF(#REF!="Red",TRUE,FALSE)</formula>
    </cfRule>
    <cfRule type="expression" dxfId="11" priority="10" stopIfTrue="1">
      <formula>IF(#REF!="Green",TRUE,FALSE)</formula>
    </cfRule>
  </conditionalFormatting>
  <printOptions horizontalCentered="1"/>
  <pageMargins left="0.51181102362204722" right="0.11811023622047245" top="0.15748031496062992" bottom="0.11811023622047245" header="0" footer="0"/>
  <pageSetup scale="85" fitToWidth="0" orientation="landscape" r:id="rId1"/>
  <headerFooter>
    <oddFooter>&amp;LGTAM JSC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09CD3-95D1-4D1B-9607-5917AF69CD38}">
  <dimension ref="A1:O37"/>
  <sheetViews>
    <sheetView showGridLines="0" tabSelected="1" zoomScaleNormal="100" workbookViewId="0">
      <selection activeCell="N12" sqref="N12"/>
    </sheetView>
  </sheetViews>
  <sheetFormatPr defaultColWidth="14.42578125" defaultRowHeight="15" customHeight="1" x14ac:dyDescent="0.2"/>
  <cols>
    <col min="1" max="1" width="7.5703125" style="31" customWidth="1"/>
    <col min="2" max="2" width="28.5703125" style="31" customWidth="1"/>
    <col min="3" max="4" width="13.5703125" style="31" customWidth="1"/>
    <col min="5" max="5" width="11.42578125" style="31" customWidth="1"/>
    <col min="6" max="6" width="15.85546875" style="31" customWidth="1"/>
    <col min="7" max="7" width="3.7109375" style="31" customWidth="1"/>
    <col min="8" max="8" width="6.7109375" style="31" customWidth="1"/>
    <col min="9" max="9" width="14.140625" style="31" customWidth="1"/>
    <col min="10" max="10" width="13.28515625" style="31" customWidth="1"/>
    <col min="11" max="11" width="12.42578125" style="31" customWidth="1"/>
    <col min="12" max="12" width="5.85546875" style="31" customWidth="1"/>
    <col min="13" max="13" width="17" style="31" customWidth="1"/>
    <col min="14" max="14" width="14" style="31" customWidth="1"/>
    <col min="15" max="16384" width="14.42578125" style="31"/>
  </cols>
  <sheetData>
    <row r="1" spans="1:14" ht="33.6" customHeight="1" x14ac:dyDescent="0.2">
      <c r="A1" s="28"/>
      <c r="B1" s="29"/>
      <c r="C1" s="29"/>
      <c r="D1" s="29"/>
      <c r="E1" s="29"/>
      <c r="F1" s="120" t="s">
        <v>33</v>
      </c>
      <c r="G1" s="120"/>
      <c r="H1" s="120"/>
      <c r="I1" s="120"/>
      <c r="J1" s="120"/>
      <c r="K1" s="120"/>
      <c r="L1" s="120"/>
      <c r="M1" s="120"/>
      <c r="N1" s="30"/>
    </row>
    <row r="2" spans="1:14" ht="15" customHeight="1" x14ac:dyDescent="0.2">
      <c r="A2" s="30"/>
      <c r="B2" s="30"/>
      <c r="C2" s="30"/>
      <c r="D2" s="32"/>
      <c r="E2" s="30"/>
      <c r="F2" s="30"/>
      <c r="G2" s="30"/>
      <c r="H2" s="30"/>
      <c r="I2" s="30"/>
      <c r="J2" s="30"/>
      <c r="K2" s="30" t="s">
        <v>0</v>
      </c>
      <c r="L2" s="30"/>
      <c r="M2" s="33">
        <v>46120</v>
      </c>
      <c r="N2" s="30"/>
    </row>
    <row r="3" spans="1:14" ht="15" customHeight="1" x14ac:dyDescent="0.2">
      <c r="A3" s="30"/>
      <c r="B3" s="30"/>
      <c r="C3" s="30"/>
      <c r="D3" s="30"/>
      <c r="E3" s="30"/>
      <c r="F3" s="30"/>
      <c r="G3" s="30"/>
      <c r="H3" s="30"/>
      <c r="I3" s="30"/>
      <c r="J3" s="30"/>
      <c r="K3" s="30" t="s">
        <v>1</v>
      </c>
      <c r="L3" s="30"/>
      <c r="M3" s="34" t="s">
        <v>111</v>
      </c>
      <c r="N3" s="30"/>
    </row>
    <row r="4" spans="1:14" ht="15" customHeight="1" x14ac:dyDescent="0.2">
      <c r="A4" s="30"/>
      <c r="B4" s="30"/>
      <c r="C4" s="30"/>
      <c r="D4" s="30"/>
      <c r="E4" s="30"/>
      <c r="F4" s="30"/>
      <c r="G4" s="30"/>
      <c r="H4" s="30"/>
      <c r="I4" s="30"/>
      <c r="J4" s="30"/>
      <c r="K4" s="30" t="s">
        <v>2</v>
      </c>
      <c r="L4" s="30"/>
      <c r="M4" s="35"/>
      <c r="N4" s="30"/>
    </row>
    <row r="5" spans="1:14" ht="15" customHeight="1" x14ac:dyDescent="0.2">
      <c r="A5" s="30"/>
      <c r="B5" s="30"/>
      <c r="C5" s="30"/>
      <c r="D5" s="30"/>
      <c r="E5" s="30"/>
      <c r="F5" s="30"/>
      <c r="G5" s="30"/>
      <c r="H5" s="30"/>
      <c r="I5" s="30"/>
      <c r="J5" s="30"/>
      <c r="K5" s="30" t="s">
        <v>31</v>
      </c>
      <c r="L5" s="30"/>
      <c r="M5" s="35"/>
      <c r="N5" s="30"/>
    </row>
    <row r="6" spans="1:14" ht="0.75" customHeight="1" x14ac:dyDescent="0.2">
      <c r="A6" s="30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6"/>
      <c r="N6" s="30"/>
    </row>
    <row r="7" spans="1:14" ht="15" hidden="1" customHeight="1" x14ac:dyDescent="0.2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6"/>
      <c r="N7" s="30"/>
    </row>
    <row r="8" spans="1:14" ht="15" customHeight="1" x14ac:dyDescent="0.2">
      <c r="A8" s="90" t="s">
        <v>25</v>
      </c>
      <c r="B8" s="121"/>
      <c r="C8" s="121"/>
      <c r="D8" s="121"/>
      <c r="E8" s="30"/>
      <c r="F8" s="121" t="s">
        <v>34</v>
      </c>
      <c r="G8" s="121"/>
      <c r="H8" s="121"/>
      <c r="I8" s="121"/>
      <c r="J8" s="121"/>
      <c r="K8" s="121"/>
      <c r="L8" s="121"/>
      <c r="M8" s="36"/>
      <c r="N8" s="30"/>
    </row>
    <row r="9" spans="1:14" ht="15" customHeight="1" x14ac:dyDescent="0.2">
      <c r="A9" s="30" t="s">
        <v>21</v>
      </c>
      <c r="B9" s="30"/>
      <c r="C9" s="30"/>
      <c r="D9" s="30"/>
      <c r="E9" s="30"/>
      <c r="F9" s="37" t="s">
        <v>22</v>
      </c>
      <c r="G9" s="37"/>
      <c r="H9" s="37"/>
      <c r="I9" s="37"/>
      <c r="J9" s="37"/>
      <c r="K9" s="37"/>
      <c r="L9" s="37"/>
      <c r="M9" s="37"/>
      <c r="N9" s="30"/>
    </row>
    <row r="10" spans="1:14" ht="15" customHeight="1" x14ac:dyDescent="0.2">
      <c r="A10" s="122" t="s">
        <v>64</v>
      </c>
      <c r="B10" s="81"/>
      <c r="C10" s="81"/>
      <c r="D10" s="81"/>
      <c r="E10" s="81"/>
      <c r="F10" s="37" t="s">
        <v>65</v>
      </c>
      <c r="G10" s="37"/>
      <c r="H10" s="37"/>
      <c r="I10" s="37"/>
      <c r="J10" s="37"/>
      <c r="K10" s="37"/>
      <c r="L10" s="37"/>
      <c r="M10" s="37"/>
      <c r="N10" s="30"/>
    </row>
    <row r="11" spans="1:14" ht="27.75" customHeight="1" x14ac:dyDescent="0.2">
      <c r="A11" s="122" t="s">
        <v>49</v>
      </c>
      <c r="B11" s="81"/>
      <c r="C11" s="81"/>
      <c r="D11" s="81"/>
      <c r="E11" s="81"/>
      <c r="F11" s="37" t="s">
        <v>45</v>
      </c>
      <c r="G11" s="37"/>
      <c r="H11" s="37"/>
      <c r="I11" s="37"/>
      <c r="J11" s="37"/>
      <c r="K11" s="37"/>
      <c r="L11" s="37"/>
      <c r="M11" s="37"/>
      <c r="N11" s="30"/>
    </row>
    <row r="12" spans="1:14" ht="15" customHeight="1" x14ac:dyDescent="0.2">
      <c r="A12" s="81" t="s">
        <v>50</v>
      </c>
      <c r="B12" s="81"/>
      <c r="C12" s="81"/>
      <c r="D12" s="28"/>
      <c r="E12" s="28"/>
      <c r="F12" s="30" t="s">
        <v>46</v>
      </c>
      <c r="G12" s="38" t="s">
        <v>47</v>
      </c>
      <c r="H12" s="30"/>
      <c r="K12" s="39"/>
      <c r="L12" s="39"/>
      <c r="M12" s="39"/>
      <c r="N12" s="30"/>
    </row>
    <row r="13" spans="1:14" ht="15" customHeight="1" x14ac:dyDescent="0.2">
      <c r="A13" s="30" t="s">
        <v>27</v>
      </c>
      <c r="B13" s="30"/>
      <c r="C13" s="30"/>
      <c r="D13" s="30"/>
      <c r="E13" s="30"/>
      <c r="F13" s="37" t="s">
        <v>42</v>
      </c>
      <c r="G13" s="40" t="s">
        <v>51</v>
      </c>
      <c r="H13" s="37"/>
      <c r="I13" s="37"/>
      <c r="J13" s="37"/>
      <c r="K13" s="37"/>
      <c r="L13" s="37"/>
      <c r="M13" s="37"/>
      <c r="N13" s="30"/>
    </row>
    <row r="14" spans="1:14" ht="15" customHeight="1" x14ac:dyDescent="0.2">
      <c r="A14" s="30" t="s">
        <v>28</v>
      </c>
      <c r="B14" s="30"/>
      <c r="C14" s="30"/>
      <c r="D14" s="30"/>
      <c r="E14" s="30"/>
      <c r="F14" s="37" t="s">
        <v>43</v>
      </c>
      <c r="G14" s="37"/>
      <c r="H14" s="37"/>
      <c r="I14" s="37"/>
      <c r="J14" s="37"/>
      <c r="K14" s="37"/>
      <c r="L14" s="37"/>
      <c r="M14" s="37"/>
      <c r="N14" s="30"/>
    </row>
    <row r="15" spans="1:14" ht="15" customHeight="1" x14ac:dyDescent="0.2">
      <c r="A15" s="30"/>
      <c r="B15" s="30"/>
      <c r="C15" s="30"/>
      <c r="D15" s="30"/>
      <c r="E15" s="30"/>
      <c r="F15" s="118" t="s">
        <v>29</v>
      </c>
      <c r="G15" s="118"/>
      <c r="H15" s="118"/>
      <c r="I15" s="118"/>
      <c r="J15" s="118"/>
      <c r="K15" s="118"/>
      <c r="L15" s="118"/>
      <c r="M15" s="118"/>
      <c r="N15" s="30"/>
    </row>
    <row r="16" spans="1:14" ht="15" customHeight="1" x14ac:dyDescent="0.2">
      <c r="A16" s="41" t="s">
        <v>3</v>
      </c>
      <c r="B16" s="119" t="s">
        <v>4</v>
      </c>
      <c r="C16" s="119"/>
      <c r="D16" s="119"/>
      <c r="E16" s="119" t="s">
        <v>63</v>
      </c>
      <c r="F16" s="119"/>
      <c r="G16" s="119" t="s">
        <v>44</v>
      </c>
      <c r="H16" s="119"/>
      <c r="I16" s="41" t="s">
        <v>5</v>
      </c>
      <c r="J16" s="41" t="s">
        <v>6</v>
      </c>
      <c r="K16" s="119" t="s">
        <v>7</v>
      </c>
      <c r="L16" s="119"/>
      <c r="M16" s="119"/>
      <c r="N16" s="30"/>
    </row>
    <row r="17" spans="1:14" s="44" customFormat="1" ht="24" customHeight="1" x14ac:dyDescent="0.2">
      <c r="A17" s="42">
        <v>1</v>
      </c>
      <c r="B17" s="172" t="s">
        <v>104</v>
      </c>
      <c r="C17" s="173"/>
      <c r="D17" s="174"/>
      <c r="E17" s="175" t="s">
        <v>103</v>
      </c>
      <c r="F17" s="176"/>
      <c r="G17" s="170" t="s">
        <v>84</v>
      </c>
      <c r="H17" s="170"/>
      <c r="I17" s="26">
        <v>340</v>
      </c>
      <c r="J17" s="27">
        <v>42000</v>
      </c>
      <c r="K17" s="171">
        <f t="shared" ref="K17" si="0">IF(OR(ISBLANK(I17),ISBLANK(J17)),0,I17*J17)</f>
        <v>14280000</v>
      </c>
      <c r="L17" s="171"/>
      <c r="M17" s="171"/>
      <c r="N17" s="43"/>
    </row>
    <row r="18" spans="1:14" s="44" customFormat="1" ht="18.75" customHeight="1" x14ac:dyDescent="0.2">
      <c r="A18" s="42">
        <v>2</v>
      </c>
      <c r="B18" s="172" t="s">
        <v>104</v>
      </c>
      <c r="C18" s="173"/>
      <c r="D18" s="174"/>
      <c r="E18" s="175" t="s">
        <v>105</v>
      </c>
      <c r="F18" s="176"/>
      <c r="G18" s="170" t="s">
        <v>84</v>
      </c>
      <c r="H18" s="170"/>
      <c r="I18" s="26">
        <v>170</v>
      </c>
      <c r="J18" s="27">
        <v>71000</v>
      </c>
      <c r="K18" s="171">
        <f t="shared" ref="K18:K23" si="1">IF(OR(ISBLANK(I18),ISBLANK(J18)),0,I18*J18)</f>
        <v>12070000</v>
      </c>
      <c r="L18" s="171"/>
      <c r="M18" s="171"/>
      <c r="N18" s="43"/>
    </row>
    <row r="19" spans="1:14" s="44" customFormat="1" ht="18.75" customHeight="1" x14ac:dyDescent="0.2">
      <c r="A19" s="42">
        <v>3</v>
      </c>
      <c r="B19" s="172" t="s">
        <v>104</v>
      </c>
      <c r="C19" s="173"/>
      <c r="D19" s="174"/>
      <c r="E19" s="175" t="s">
        <v>106</v>
      </c>
      <c r="F19" s="176"/>
      <c r="G19" s="170" t="s">
        <v>84</v>
      </c>
      <c r="H19" s="170"/>
      <c r="I19" s="26">
        <v>340</v>
      </c>
      <c r="J19" s="27">
        <v>39000</v>
      </c>
      <c r="K19" s="171">
        <f t="shared" si="1"/>
        <v>13260000</v>
      </c>
      <c r="L19" s="171"/>
      <c r="M19" s="171"/>
      <c r="N19" s="43"/>
    </row>
    <row r="20" spans="1:14" s="44" customFormat="1" ht="18.75" customHeight="1" x14ac:dyDescent="0.2">
      <c r="A20" s="42">
        <v>4</v>
      </c>
      <c r="B20" s="172" t="s">
        <v>104</v>
      </c>
      <c r="C20" s="173"/>
      <c r="D20" s="174"/>
      <c r="E20" s="175" t="s">
        <v>107</v>
      </c>
      <c r="F20" s="176"/>
      <c r="G20" s="170" t="s">
        <v>84</v>
      </c>
      <c r="H20" s="170"/>
      <c r="I20" s="26">
        <v>340</v>
      </c>
      <c r="J20" s="27">
        <v>15000</v>
      </c>
      <c r="K20" s="171">
        <f t="shared" si="1"/>
        <v>5100000</v>
      </c>
      <c r="L20" s="171"/>
      <c r="M20" s="171"/>
      <c r="N20" s="43"/>
    </row>
    <row r="21" spans="1:14" s="44" customFormat="1" ht="18.75" customHeight="1" x14ac:dyDescent="0.2">
      <c r="A21" s="42">
        <v>5</v>
      </c>
      <c r="B21" s="172" t="s">
        <v>104</v>
      </c>
      <c r="C21" s="173"/>
      <c r="D21" s="174"/>
      <c r="E21" s="175" t="s">
        <v>108</v>
      </c>
      <c r="F21" s="176"/>
      <c r="G21" s="170" t="s">
        <v>84</v>
      </c>
      <c r="H21" s="170"/>
      <c r="I21" s="26">
        <v>170</v>
      </c>
      <c r="J21" s="27">
        <v>17000</v>
      </c>
      <c r="K21" s="171">
        <f t="shared" si="1"/>
        <v>2890000</v>
      </c>
      <c r="L21" s="171"/>
      <c r="M21" s="171"/>
      <c r="N21" s="43"/>
    </row>
    <row r="22" spans="1:14" s="44" customFormat="1" ht="18.75" customHeight="1" x14ac:dyDescent="0.2">
      <c r="A22" s="42">
        <v>6</v>
      </c>
      <c r="B22" s="172" t="s">
        <v>104</v>
      </c>
      <c r="C22" s="173"/>
      <c r="D22" s="174"/>
      <c r="E22" s="175" t="s">
        <v>109</v>
      </c>
      <c r="F22" s="176"/>
      <c r="G22" s="170" t="s">
        <v>84</v>
      </c>
      <c r="H22" s="170"/>
      <c r="I22" s="26">
        <v>85</v>
      </c>
      <c r="J22" s="27">
        <v>57000</v>
      </c>
      <c r="K22" s="171">
        <f t="shared" si="1"/>
        <v>4845000</v>
      </c>
      <c r="L22" s="171"/>
      <c r="M22" s="171"/>
      <c r="N22" s="43"/>
    </row>
    <row r="23" spans="1:14" s="44" customFormat="1" ht="18.75" customHeight="1" x14ac:dyDescent="0.2">
      <c r="A23" s="42">
        <v>7</v>
      </c>
      <c r="B23" s="172" t="s">
        <v>104</v>
      </c>
      <c r="C23" s="173"/>
      <c r="D23" s="174"/>
      <c r="E23" s="175" t="s">
        <v>110</v>
      </c>
      <c r="F23" s="176"/>
      <c r="G23" s="170" t="s">
        <v>84</v>
      </c>
      <c r="H23" s="170"/>
      <c r="I23" s="26">
        <v>170</v>
      </c>
      <c r="J23" s="27">
        <v>15000</v>
      </c>
      <c r="K23" s="171">
        <f t="shared" si="1"/>
        <v>2550000</v>
      </c>
      <c r="L23" s="171"/>
      <c r="M23" s="171"/>
      <c r="N23" s="43"/>
    </row>
    <row r="24" spans="1:14" ht="15" hidden="1" customHeight="1" x14ac:dyDescent="0.2">
      <c r="A24" s="50"/>
      <c r="B24" s="106"/>
      <c r="C24" s="106"/>
      <c r="D24" s="106"/>
      <c r="E24" s="106"/>
      <c r="F24" s="106"/>
      <c r="G24" s="106"/>
      <c r="H24" s="106"/>
      <c r="I24" s="49"/>
      <c r="J24" s="49"/>
      <c r="K24" s="112"/>
      <c r="L24" s="112"/>
      <c r="M24" s="112"/>
      <c r="N24" s="30"/>
    </row>
    <row r="25" spans="1:14" ht="15" hidden="1" customHeight="1" x14ac:dyDescent="0.2">
      <c r="A25" s="50"/>
      <c r="B25" s="106"/>
      <c r="C25" s="106"/>
      <c r="D25" s="106"/>
      <c r="E25" s="106"/>
      <c r="F25" s="106"/>
      <c r="G25" s="106"/>
      <c r="H25" s="106"/>
      <c r="I25" s="49"/>
      <c r="J25" s="49">
        <v>0</v>
      </c>
      <c r="K25" s="112">
        <f t="shared" ref="K25:K27" si="2">IF(OR(ISBLANK(I25),ISBLANK(J25)),0,I25*J25)</f>
        <v>0</v>
      </c>
      <c r="L25" s="112"/>
      <c r="M25" s="112"/>
      <c r="N25" s="30"/>
    </row>
    <row r="26" spans="1:14" ht="15" hidden="1" customHeight="1" x14ac:dyDescent="0.2">
      <c r="A26" s="50"/>
      <c r="B26" s="106"/>
      <c r="C26" s="106"/>
      <c r="D26" s="106"/>
      <c r="E26" s="106"/>
      <c r="F26" s="106"/>
      <c r="G26" s="106"/>
      <c r="H26" s="106"/>
      <c r="I26" s="49"/>
      <c r="J26" s="49">
        <v>0</v>
      </c>
      <c r="K26" s="107">
        <f t="shared" si="2"/>
        <v>0</v>
      </c>
      <c r="L26" s="107"/>
      <c r="M26" s="107"/>
      <c r="N26" s="30"/>
    </row>
    <row r="27" spans="1:14" ht="15" hidden="1" customHeight="1" x14ac:dyDescent="0.2">
      <c r="A27" s="50"/>
      <c r="B27" s="106"/>
      <c r="C27" s="106"/>
      <c r="D27" s="106"/>
      <c r="E27" s="106"/>
      <c r="F27" s="106"/>
      <c r="G27" s="106"/>
      <c r="H27" s="106"/>
      <c r="I27" s="49"/>
      <c r="J27" s="49">
        <v>0</v>
      </c>
      <c r="K27" s="107">
        <f t="shared" si="2"/>
        <v>0</v>
      </c>
      <c r="L27" s="107"/>
      <c r="M27" s="107"/>
      <c r="N27" s="30"/>
    </row>
    <row r="28" spans="1:14" ht="16.5" customHeight="1" x14ac:dyDescent="0.2">
      <c r="A28" s="108" t="s">
        <v>12</v>
      </c>
      <c r="B28" s="108"/>
      <c r="C28" s="108"/>
      <c r="D28" s="108"/>
      <c r="E28" s="108"/>
      <c r="F28" s="108"/>
      <c r="G28" s="108"/>
      <c r="H28" s="108"/>
      <c r="I28" s="108"/>
      <c r="J28" s="108"/>
      <c r="K28" s="51" t="s">
        <v>8</v>
      </c>
      <c r="L28" s="51"/>
      <c r="M28" s="52">
        <f>SUM(K17:K27)</f>
        <v>54995000</v>
      </c>
      <c r="N28" s="30"/>
    </row>
    <row r="29" spans="1:14" ht="15" customHeight="1" x14ac:dyDescent="0.2">
      <c r="A29" s="109"/>
      <c r="B29" s="109"/>
      <c r="C29" s="109"/>
      <c r="D29" s="109"/>
      <c r="E29" s="109"/>
      <c r="F29" s="109"/>
      <c r="G29" s="109"/>
      <c r="H29" s="109"/>
      <c r="I29" s="109"/>
      <c r="J29" s="109"/>
      <c r="K29" s="51" t="s">
        <v>9</v>
      </c>
      <c r="L29" s="51"/>
      <c r="M29" s="52"/>
      <c r="N29" s="30"/>
    </row>
    <row r="30" spans="1:14" ht="15" customHeight="1" x14ac:dyDescent="0.2">
      <c r="A30" s="109"/>
      <c r="B30" s="109"/>
      <c r="C30" s="109"/>
      <c r="D30" s="109"/>
      <c r="E30" s="109"/>
      <c r="F30" s="109"/>
      <c r="G30" s="109"/>
      <c r="H30" s="109"/>
      <c r="I30" s="109"/>
      <c r="J30" s="109"/>
      <c r="K30" s="51" t="s">
        <v>32</v>
      </c>
      <c r="L30" s="56">
        <v>0.1</v>
      </c>
      <c r="M30" s="52">
        <f>(M28-M29)*L30</f>
        <v>5499500</v>
      </c>
      <c r="N30" s="30"/>
    </row>
    <row r="31" spans="1:14" ht="15" customHeight="1" x14ac:dyDescent="0.2">
      <c r="A31" s="110"/>
      <c r="B31" s="110"/>
      <c r="C31" s="110"/>
      <c r="D31" s="110"/>
      <c r="E31" s="110"/>
      <c r="F31" s="110"/>
      <c r="G31" s="110"/>
      <c r="H31" s="110"/>
      <c r="I31" s="110"/>
      <c r="J31" s="110"/>
      <c r="K31" s="53" t="s">
        <v>10</v>
      </c>
      <c r="L31" s="53"/>
      <c r="M31" s="54">
        <f>M28-M29+M30</f>
        <v>60494500</v>
      </c>
      <c r="N31" s="30"/>
    </row>
    <row r="32" spans="1:14" ht="17.25" customHeight="1" x14ac:dyDescent="0.2">
      <c r="A32" s="90" t="s">
        <v>15</v>
      </c>
      <c r="B32" s="91"/>
      <c r="C32" s="92" t="s">
        <v>16</v>
      </c>
      <c r="D32" s="93"/>
      <c r="E32" s="94"/>
      <c r="F32" s="95" t="s">
        <v>17</v>
      </c>
      <c r="G32" s="93"/>
      <c r="H32" s="93"/>
      <c r="I32" s="96"/>
      <c r="J32" s="97" t="s">
        <v>19</v>
      </c>
      <c r="K32" s="93"/>
      <c r="L32" s="93"/>
      <c r="M32" s="98"/>
      <c r="N32" s="30"/>
    </row>
    <row r="33" spans="1:15" ht="43.9" customHeight="1" x14ac:dyDescent="0.2">
      <c r="A33" s="99" t="s">
        <v>26</v>
      </c>
      <c r="B33" s="100"/>
      <c r="C33" s="99" t="s">
        <v>20</v>
      </c>
      <c r="D33" s="101"/>
      <c r="E33" s="102"/>
      <c r="F33" s="99" t="s">
        <v>20</v>
      </c>
      <c r="G33" s="101"/>
      <c r="H33" s="101"/>
      <c r="I33" s="101"/>
      <c r="J33" s="103" t="s">
        <v>48</v>
      </c>
      <c r="K33" s="104"/>
      <c r="L33" s="104"/>
      <c r="M33" s="105"/>
      <c r="N33" s="30"/>
    </row>
    <row r="34" spans="1:15" ht="7.5" customHeight="1" x14ac:dyDescent="0.2">
      <c r="A34" s="81"/>
      <c r="B34" s="82"/>
      <c r="C34" s="82"/>
      <c r="D34" s="30"/>
      <c r="E34" s="30"/>
      <c r="F34" s="83"/>
      <c r="G34" s="83"/>
      <c r="H34" s="83"/>
      <c r="I34" s="82"/>
      <c r="J34" s="82"/>
      <c r="K34" s="82"/>
      <c r="L34" s="82"/>
      <c r="M34" s="82"/>
      <c r="N34" s="30"/>
    </row>
    <row r="35" spans="1:15" ht="18" customHeight="1" x14ac:dyDescent="0.2">
      <c r="A35" s="84" t="s">
        <v>24</v>
      </c>
      <c r="B35" s="85"/>
      <c r="C35" s="85"/>
      <c r="D35" s="86"/>
      <c r="E35" s="30"/>
      <c r="I35" s="84" t="s">
        <v>23</v>
      </c>
      <c r="J35" s="85"/>
      <c r="K35" s="85"/>
      <c r="L35" s="85"/>
      <c r="M35" s="86"/>
      <c r="N35" s="30"/>
      <c r="O35" s="55"/>
    </row>
    <row r="36" spans="1:15" ht="6.75" customHeight="1" x14ac:dyDescent="0.2">
      <c r="A36" s="87"/>
      <c r="B36" s="82"/>
      <c r="C36" s="82"/>
      <c r="D36" s="82"/>
      <c r="E36" s="82"/>
      <c r="F36" s="82"/>
      <c r="G36" s="82"/>
      <c r="H36" s="82"/>
      <c r="I36" s="82"/>
      <c r="J36" s="82"/>
      <c r="K36" s="82"/>
      <c r="L36" s="82"/>
      <c r="M36" s="82"/>
      <c r="N36" s="30"/>
    </row>
    <row r="37" spans="1:15" ht="18" customHeight="1" x14ac:dyDescent="0.2">
      <c r="N37" s="30"/>
    </row>
  </sheetData>
  <mergeCells count="62">
    <mergeCell ref="B23:D23"/>
    <mergeCell ref="A34:C34"/>
    <mergeCell ref="F34:M34"/>
    <mergeCell ref="A35:D35"/>
    <mergeCell ref="I35:M35"/>
    <mergeCell ref="A36:M36"/>
    <mergeCell ref="B18:D18"/>
    <mergeCell ref="B19:D19"/>
    <mergeCell ref="B20:D20"/>
    <mergeCell ref="B21:D21"/>
    <mergeCell ref="B22:D22"/>
    <mergeCell ref="A32:B32"/>
    <mergeCell ref="C32:E32"/>
    <mergeCell ref="F32:I32"/>
    <mergeCell ref="J32:M32"/>
    <mergeCell ref="A33:B33"/>
    <mergeCell ref="C33:E33"/>
    <mergeCell ref="F33:I33"/>
    <mergeCell ref="J33:M33"/>
    <mergeCell ref="B26:H26"/>
    <mergeCell ref="K26:M26"/>
    <mergeCell ref="B27:H27"/>
    <mergeCell ref="K27:M27"/>
    <mergeCell ref="A28:J28"/>
    <mergeCell ref="A29:J31"/>
    <mergeCell ref="B24:H24"/>
    <mergeCell ref="K24:M24"/>
    <mergeCell ref="B25:H25"/>
    <mergeCell ref="K25:M25"/>
    <mergeCell ref="E22:F22"/>
    <mergeCell ref="G22:H22"/>
    <mergeCell ref="K22:M22"/>
    <mergeCell ref="E23:F23"/>
    <mergeCell ref="G23:H23"/>
    <mergeCell ref="K23:M23"/>
    <mergeCell ref="E20:F20"/>
    <mergeCell ref="G20:H20"/>
    <mergeCell ref="K20:M20"/>
    <mergeCell ref="E21:F21"/>
    <mergeCell ref="G21:H21"/>
    <mergeCell ref="K21:M21"/>
    <mergeCell ref="E18:F18"/>
    <mergeCell ref="G18:H18"/>
    <mergeCell ref="K18:M18"/>
    <mergeCell ref="E19:F19"/>
    <mergeCell ref="G19:H19"/>
    <mergeCell ref="K19:M19"/>
    <mergeCell ref="F15:M15"/>
    <mergeCell ref="B16:D16"/>
    <mergeCell ref="E16:F16"/>
    <mergeCell ref="G16:H16"/>
    <mergeCell ref="K16:M16"/>
    <mergeCell ref="B17:D17"/>
    <mergeCell ref="E17:F17"/>
    <mergeCell ref="G17:H17"/>
    <mergeCell ref="K17:M17"/>
    <mergeCell ref="F1:M1"/>
    <mergeCell ref="A8:D8"/>
    <mergeCell ref="F8:L8"/>
    <mergeCell ref="A10:E10"/>
    <mergeCell ref="A11:E11"/>
    <mergeCell ref="A12:C12"/>
  </mergeCells>
  <phoneticPr fontId="27" type="noConversion"/>
  <conditionalFormatting sqref="A8 F8:H8 A16:B16 G16 I16:M16 A28">
    <cfRule type="expression" dxfId="10" priority="5" stopIfTrue="1">
      <formula>IF(#REF!="No Color",TRUE,FALSE)</formula>
    </cfRule>
    <cfRule type="expression" dxfId="9" priority="6" stopIfTrue="1">
      <formula>IF(#REF!="Red",TRUE,FALSE)</formula>
    </cfRule>
    <cfRule type="expression" dxfId="8" priority="7" stopIfTrue="1">
      <formula>IF(#REF!="Green",TRUE,FALSE)</formula>
    </cfRule>
  </conditionalFormatting>
  <conditionalFormatting sqref="A17:B27 I17:M27">
    <cfRule type="expression" dxfId="7" priority="11" stopIfTrue="1">
      <formula>MOD(ROW(),2)=1</formula>
    </cfRule>
  </conditionalFormatting>
  <conditionalFormatting sqref="A32:C32 F32:J32">
    <cfRule type="expression" dxfId="6" priority="2" stopIfTrue="1">
      <formula>IF(#REF!="No Color",TRUE,FALSE)</formula>
    </cfRule>
    <cfRule type="expression" dxfId="5" priority="3" stopIfTrue="1">
      <formula>IF(#REF!="Red",TRUE,FALSE)</formula>
    </cfRule>
    <cfRule type="expression" dxfId="4" priority="4" stopIfTrue="1">
      <formula>IF(#REF!="Green",TRUE,FALSE)</formula>
    </cfRule>
  </conditionalFormatting>
  <conditionalFormatting sqref="E17:E23 G17:G23">
    <cfRule type="expression" dxfId="3" priority="1" stopIfTrue="1">
      <formula>MOD(ROW(),2)=1</formula>
    </cfRule>
  </conditionalFormatting>
  <conditionalFormatting sqref="F1:M1">
    <cfRule type="expression" dxfId="2" priority="8" stopIfTrue="1">
      <formula>IF(#REF!="No Color",TRUE,FALSE)</formula>
    </cfRule>
    <cfRule type="expression" dxfId="1" priority="9" stopIfTrue="1">
      <formula>IF(#REF!="Red",TRUE,FALSE)</formula>
    </cfRule>
    <cfRule type="expression" dxfId="0" priority="10" stopIfTrue="1">
      <formula>IF(#REF!="Green",TRUE,FALSE)</formula>
    </cfRule>
  </conditionalFormatting>
  <printOptions horizontalCentered="1"/>
  <pageMargins left="0.51181102362204722" right="0.11811023622047245" top="0.15748031496062992" bottom="0.11811023622047245" header="0" footer="0"/>
  <pageSetup scale="85" fitToWidth="0" orientation="landscape" r:id="rId1"/>
  <headerFooter>
    <oddFooter>&amp;LGTAM JSC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D9606-D2F5-4960-AA4B-C086D2017BF8}">
  <sheetPr codeName="Sheet2"/>
  <dimension ref="A1:A3"/>
  <sheetViews>
    <sheetView workbookViewId="0">
      <selection activeCell="A2" sqref="A2"/>
    </sheetView>
  </sheetViews>
  <sheetFormatPr defaultRowHeight="12.75" x14ac:dyDescent="0.2"/>
  <sheetData>
    <row r="1" spans="1:1" x14ac:dyDescent="0.2">
      <c r="A1">
        <v>5</v>
      </c>
    </row>
    <row r="2" spans="1:1" x14ac:dyDescent="0.2">
      <c r="A2">
        <v>8</v>
      </c>
    </row>
    <row r="3" spans="1:1" x14ac:dyDescent="0.2">
      <c r="A3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Mẫu đơn đặt hàng</vt:lpstr>
      <vt:lpstr>25.3</vt:lpstr>
      <vt:lpstr>28.3</vt:lpstr>
      <vt:lpstr>7.4</vt:lpstr>
      <vt:lpstr>8,4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 Vuong Anh</dc:creator>
  <cp:lastModifiedBy>GTAM | Finance &amp; Accounting</cp:lastModifiedBy>
  <cp:lastPrinted>2026-04-07T02:57:12Z</cp:lastPrinted>
  <dcterms:created xsi:type="dcterms:W3CDTF">2023-08-16T06:51:15Z</dcterms:created>
  <dcterms:modified xsi:type="dcterms:W3CDTF">2026-04-08T09:18:49Z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2023-08-16T06:50:30Z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b754d18a-6b7f-408b-acc9-7cd90d8068c7</vt:lpwstr>
  </property>
  <property fmtid="{D5CDD505-2E9C-101B-9397-08002B2CF9AE}" pid="7" name="MSIP_Label_defa4170-0d19-0005-0004-bc88714345d2_ActionId">
    <vt:lpwstr>fb333af5-c30f-4cc6-b91b-ea091cfd5e33</vt:lpwstr>
  </property>
  <property fmtid="{D5CDD505-2E9C-101B-9397-08002B2CF9AE}" pid="8" name="MSIP_Label_defa4170-0d19-0005-0004-bc88714345d2_ContentBits">
    <vt:lpwstr>0</vt:lpwstr>
  </property>
</Properties>
</file>