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https://gtamtech-my.sharepoint.com/personal/int_gtam_vn/Documents/Gia cong/Bieu mau/"/>
    </mc:Choice>
  </mc:AlternateContent>
  <xr:revisionPtr revIDLastSave="1476" documentId="8_{5F27D181-E2F9-4F5C-854B-8185AC5E402C}" xr6:coauthVersionLast="47" xr6:coauthVersionMax="47" xr10:uidLastSave="{97DD171F-B5AD-44F0-A933-E55EC83FB018}"/>
  <bookViews>
    <workbookView xWindow="-120" yWindow="-120" windowWidth="29040" windowHeight="15720" firstSheet="8" activeTab="20" xr2:uid="{00000000-000D-0000-FFFF-FFFF00000000}"/>
  </bookViews>
  <sheets>
    <sheet name="Phiếu MRF" sheetId="9" r:id="rId1"/>
    <sheet name="DATA" sheetId="10" state="hidden" r:id="rId2"/>
    <sheet name="Request for Quotation" sheetId="1" r:id="rId3"/>
    <sheet name="Request for Quotation (2)" sheetId="8" r:id="rId4"/>
    <sheet name="YCVT-BM" sheetId="11" r:id="rId5"/>
    <sheet name="YCVT61-10-29 (2)" sheetId="12" r:id="rId6"/>
    <sheet name="ycvt24-10(82)" sheetId="13" r:id="rId7"/>
    <sheet name="30-12-25" sheetId="14" r:id="rId8"/>
    <sheet name="30-12-25(1)" sheetId="15" r:id="rId9"/>
    <sheet name="3-1-26" sheetId="17" r:id="rId10"/>
    <sheet name="3-1-26(2)" sheetId="18" r:id="rId11"/>
    <sheet name="5-1-26" sheetId="19" r:id="rId12"/>
    <sheet name="7-1-26" sheetId="20" r:id="rId13"/>
    <sheet name="7-1-26(2)" sheetId="22" r:id="rId14"/>
    <sheet name="8-1-26" sheetId="23" r:id="rId15"/>
    <sheet name="12-1-26" sheetId="24" r:id="rId16"/>
    <sheet name="13-1-26" sheetId="25" r:id="rId17"/>
    <sheet name="15-1-26" sheetId="26" r:id="rId18"/>
    <sheet name="15-1-26(2)" sheetId="27" r:id="rId19"/>
    <sheet name="16-1-26" sheetId="28" r:id="rId20"/>
    <sheet name="5-5-26" sheetId="29" r:id="rId21"/>
    <sheet name="Guidance" sheetId="2" state="hidden" r:id="rId22"/>
    <sheet name="Example" sheetId="6" state="hidden" r:id="rId23"/>
  </sheets>
  <definedNames>
    <definedName name="_xlnm.Print_Area" localSheetId="15">'12-1-26'!$A$1:$O$52</definedName>
    <definedName name="_xlnm.Print_Area" localSheetId="16">'13-1-26'!$A$1:$O$60</definedName>
    <definedName name="_xlnm.Print_Area" localSheetId="17">'15-1-26'!$A$1:$O$59</definedName>
    <definedName name="_xlnm.Print_Area" localSheetId="18">'15-1-26(2)'!$A$1:$O$52</definedName>
    <definedName name="_xlnm.Print_Area" localSheetId="19">'16-1-26'!$A$1:$O$52</definedName>
    <definedName name="_xlnm.Print_Area" localSheetId="7">'30-12-25'!$A$1:$O$52</definedName>
    <definedName name="_xlnm.Print_Area" localSheetId="8">'30-12-25(1)'!$A$1:$O$64</definedName>
    <definedName name="_xlnm.Print_Area" localSheetId="9">'3-1-26'!$A$1:$O$52</definedName>
    <definedName name="_xlnm.Print_Area" localSheetId="10">'3-1-26(2)'!$A$1:$O$52</definedName>
    <definedName name="_xlnm.Print_Area" localSheetId="11">'5-1-26'!$A$1:$O$52</definedName>
    <definedName name="_xlnm.Print_Area" localSheetId="20">'5-5-26'!$A$1:$O$55</definedName>
    <definedName name="_xlnm.Print_Area" localSheetId="12">'7-1-26'!$A$1:$O$52</definedName>
    <definedName name="_xlnm.Print_Area" localSheetId="13">'7-1-26(2)'!$A$1:$O$52</definedName>
    <definedName name="_xlnm.Print_Area" localSheetId="14">'8-1-26'!$A$1:$O$52</definedName>
    <definedName name="_xlnm.Print_Area" localSheetId="0">'Phiếu MRF'!$A$1:$O$55</definedName>
    <definedName name="_xlnm.Print_Area" localSheetId="2">'Request for Quotation'!$A$1:$N$46</definedName>
    <definedName name="_xlnm.Print_Area" localSheetId="3">'Request for Quotation (2)'!$A$1:$N$47</definedName>
    <definedName name="_xlnm.Print_Area" localSheetId="6">'ycvt24-10(82)'!$A$1:$O$26</definedName>
    <definedName name="_xlnm.Print_Area" localSheetId="5">'YCVT61-10-29 (2)'!$A$1:$O$54</definedName>
    <definedName name="_xlnm.Print_Area" localSheetId="4">'YCVT-BM'!$A$1:$O$52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2" i="29" l="1"/>
  <c r="M29" i="29"/>
  <c r="M28" i="29"/>
  <c r="M27" i="29"/>
  <c r="M26" i="29"/>
  <c r="M25" i="29"/>
  <c r="M24" i="29"/>
  <c r="M23" i="29"/>
  <c r="M22" i="29"/>
  <c r="M20" i="29"/>
  <c r="M13" i="29"/>
  <c r="O3" i="29"/>
  <c r="O2" i="29" s="1"/>
  <c r="M29" i="28"/>
  <c r="M28" i="28"/>
  <c r="M27" i="28"/>
  <c r="M26" i="28"/>
  <c r="M25" i="28"/>
  <c r="M24" i="28"/>
  <c r="M23" i="28"/>
  <c r="M22" i="28"/>
  <c r="M21" i="28"/>
  <c r="M20" i="28"/>
  <c r="M13" i="28"/>
  <c r="O3" i="28"/>
  <c r="O2" i="28" s="1"/>
  <c r="M29" i="27"/>
  <c r="M28" i="27"/>
  <c r="M27" i="27"/>
  <c r="M26" i="27"/>
  <c r="M25" i="27"/>
  <c r="M24" i="27"/>
  <c r="M23" i="27"/>
  <c r="M22" i="27"/>
  <c r="M21" i="27"/>
  <c r="M20" i="27"/>
  <c r="M13" i="27"/>
  <c r="O3" i="27"/>
  <c r="O2" i="27" s="1"/>
  <c r="M36" i="26"/>
  <c r="M35" i="26"/>
  <c r="M34" i="26"/>
  <c r="M33" i="26"/>
  <c r="M32" i="26"/>
  <c r="M31" i="26"/>
  <c r="M30" i="26"/>
  <c r="M29" i="26"/>
  <c r="M28" i="26"/>
  <c r="M27" i="26"/>
  <c r="M13" i="26"/>
  <c r="O3" i="26"/>
  <c r="O2" i="26" s="1"/>
  <c r="M37" i="25"/>
  <c r="M36" i="25"/>
  <c r="M35" i="25"/>
  <c r="M34" i="25"/>
  <c r="M33" i="25"/>
  <c r="M32" i="25"/>
  <c r="M31" i="25"/>
  <c r="M30" i="25"/>
  <c r="M29" i="25"/>
  <c r="M28" i="25"/>
  <c r="M13" i="25"/>
  <c r="O3" i="25"/>
  <c r="O2" i="25" s="1"/>
  <c r="M29" i="24"/>
  <c r="M28" i="24"/>
  <c r="M27" i="24"/>
  <c r="M26" i="24"/>
  <c r="M25" i="24"/>
  <c r="M24" i="24"/>
  <c r="M23" i="24"/>
  <c r="M22" i="24"/>
  <c r="M21" i="24"/>
  <c r="M20" i="24"/>
  <c r="M13" i="24"/>
  <c r="O3" i="24"/>
  <c r="O2" i="24" s="1"/>
  <c r="M29" i="23"/>
  <c r="M28" i="23"/>
  <c r="M27" i="23"/>
  <c r="M26" i="23"/>
  <c r="M25" i="23"/>
  <c r="M24" i="23"/>
  <c r="M23" i="23"/>
  <c r="M22" i="23"/>
  <c r="M21" i="23"/>
  <c r="M20" i="23"/>
  <c r="M13" i="23"/>
  <c r="O3" i="23"/>
  <c r="O2" i="23" s="1"/>
  <c r="M29" i="22"/>
  <c r="M28" i="22"/>
  <c r="M27" i="22"/>
  <c r="M26" i="22"/>
  <c r="M25" i="22"/>
  <c r="M24" i="22"/>
  <c r="M23" i="22"/>
  <c r="M22" i="22"/>
  <c r="M21" i="22"/>
  <c r="M20" i="22"/>
  <c r="M13" i="22"/>
  <c r="O3" i="22"/>
  <c r="O2" i="22" s="1"/>
  <c r="M29" i="20"/>
  <c r="M28" i="20"/>
  <c r="M27" i="20"/>
  <c r="M26" i="20"/>
  <c r="M25" i="20"/>
  <c r="M24" i="20"/>
  <c r="M23" i="20"/>
  <c r="M22" i="20"/>
  <c r="M21" i="20"/>
  <c r="M20" i="20"/>
  <c r="M13" i="20"/>
  <c r="O3" i="20"/>
  <c r="O2" i="20" s="1"/>
  <c r="M29" i="19"/>
  <c r="M28" i="19"/>
  <c r="M27" i="19"/>
  <c r="M26" i="19"/>
  <c r="M25" i="19"/>
  <c r="M24" i="19"/>
  <c r="M23" i="19"/>
  <c r="M22" i="19"/>
  <c r="M21" i="19"/>
  <c r="M20" i="19"/>
  <c r="M13" i="19"/>
  <c r="O3" i="19"/>
  <c r="O2" i="19" s="1"/>
  <c r="M29" i="18"/>
  <c r="M28" i="18"/>
  <c r="M27" i="18"/>
  <c r="M26" i="18"/>
  <c r="M25" i="18"/>
  <c r="M24" i="18"/>
  <c r="M23" i="18"/>
  <c r="M22" i="18"/>
  <c r="M21" i="18"/>
  <c r="M20" i="18"/>
  <c r="M13" i="18"/>
  <c r="O3" i="18"/>
  <c r="O2" i="18" s="1"/>
  <c r="M29" i="17"/>
  <c r="M28" i="17"/>
  <c r="M27" i="17"/>
  <c r="M26" i="17"/>
  <c r="M25" i="17"/>
  <c r="M24" i="17"/>
  <c r="M23" i="17"/>
  <c r="M22" i="17"/>
  <c r="M21" i="17"/>
  <c r="M20" i="17"/>
  <c r="M13" i="17"/>
  <c r="O3" i="17"/>
  <c r="O2" i="17" s="1"/>
  <c r="M41" i="15" l="1"/>
  <c r="M40" i="15"/>
  <c r="M39" i="15"/>
  <c r="M38" i="15"/>
  <c r="M37" i="15"/>
  <c r="M36" i="15"/>
  <c r="M35" i="15"/>
  <c r="M34" i="15"/>
  <c r="M33" i="15"/>
  <c r="M32" i="15"/>
  <c r="M13" i="15"/>
  <c r="O3" i="15"/>
  <c r="O2" i="15" s="1"/>
  <c r="M29" i="14"/>
  <c r="M28" i="14"/>
  <c r="M27" i="14"/>
  <c r="M26" i="14"/>
  <c r="M25" i="14"/>
  <c r="M24" i="14"/>
  <c r="M23" i="14"/>
  <c r="M22" i="14"/>
  <c r="M21" i="14"/>
  <c r="M20" i="14"/>
  <c r="M13" i="14"/>
  <c r="O3" i="14"/>
  <c r="O2" i="14" s="1"/>
  <c r="M13" i="13"/>
  <c r="O3" i="13"/>
  <c r="O2" i="13" s="1"/>
  <c r="M31" i="12"/>
  <c r="M30" i="12"/>
  <c r="M29" i="12"/>
  <c r="M28" i="12"/>
  <c r="M27" i="12"/>
  <c r="M26" i="12"/>
  <c r="M25" i="12"/>
  <c r="M24" i="12"/>
  <c r="M23" i="12"/>
  <c r="M22" i="12"/>
  <c r="M21" i="12"/>
  <c r="M20" i="12"/>
  <c r="M19" i="12"/>
  <c r="M18" i="12"/>
  <c r="M17" i="12"/>
  <c r="M16" i="12"/>
  <c r="M15" i="12"/>
  <c r="M14" i="12"/>
  <c r="M13" i="12"/>
  <c r="O3" i="12"/>
  <c r="O2" i="12" s="1"/>
  <c r="M29" i="11"/>
  <c r="M28" i="11"/>
  <c r="M27" i="11"/>
  <c r="M26" i="11"/>
  <c r="M25" i="11"/>
  <c r="M24" i="11"/>
  <c r="M23" i="11"/>
  <c r="M22" i="11"/>
  <c r="M21" i="11"/>
  <c r="M20" i="11"/>
  <c r="M13" i="11"/>
  <c r="O3" i="11"/>
  <c r="O2" i="11" s="1"/>
  <c r="O3" i="9"/>
  <c r="O2" i="9" s="1"/>
  <c r="I13" i="9"/>
  <c r="M13" i="9"/>
  <c r="M14" i="9"/>
  <c r="M15" i="9"/>
  <c r="M16" i="9"/>
  <c r="M17" i="9"/>
  <c r="M18" i="9"/>
  <c r="M19" i="9"/>
  <c r="M20" i="9"/>
  <c r="M21" i="9"/>
  <c r="M22" i="9"/>
  <c r="M23" i="9"/>
  <c r="M24" i="9"/>
  <c r="M25" i="9"/>
  <c r="M26" i="9"/>
  <c r="M27" i="9"/>
  <c r="M28" i="9"/>
  <c r="M29" i="9"/>
  <c r="M30" i="9"/>
  <c r="M31" i="9"/>
  <c r="M32" i="9"/>
  <c r="M40" i="8"/>
  <c r="M29" i="8"/>
  <c r="M30" i="8"/>
  <c r="M31" i="8"/>
  <c r="M32" i="8"/>
  <c r="M33" i="8"/>
  <c r="M34" i="8"/>
  <c r="M35" i="8"/>
  <c r="M36" i="8"/>
  <c r="M37" i="8"/>
  <c r="M28" i="8"/>
  <c r="F12" i="8"/>
  <c r="L12" i="8" s="1"/>
  <c r="M29" i="1"/>
  <c r="M30" i="1"/>
  <c r="M31" i="1"/>
  <c r="M32" i="1"/>
  <c r="M33" i="1"/>
  <c r="M34" i="1"/>
  <c r="M35" i="1"/>
  <c r="M36" i="1"/>
  <c r="M37" i="1"/>
  <c r="M28" i="1"/>
  <c r="F12" i="1"/>
  <c r="L9" i="1" s="1"/>
  <c r="M44" i="8"/>
  <c r="M39" i="1"/>
  <c r="M43" i="1"/>
  <c r="G34" i="6"/>
  <c r="G33" i="6"/>
  <c r="G32" i="6"/>
  <c r="G31" i="6"/>
  <c r="G30" i="6"/>
  <c r="G29" i="6"/>
  <c r="G28" i="6"/>
  <c r="G27" i="6"/>
  <c r="G26" i="6"/>
  <c r="G24" i="6"/>
  <c r="G25" i="6"/>
  <c r="G35" i="6"/>
  <c r="G39" i="6"/>
  <c r="M12" i="1" l="1"/>
  <c r="L9" i="8"/>
</calcChain>
</file>

<file path=xl/sharedStrings.xml><?xml version="1.0" encoding="utf-8"?>
<sst xmlns="http://schemas.openxmlformats.org/spreadsheetml/2006/main" count="1784" uniqueCount="499">
  <si>
    <t>Date RFQ sent out:</t>
  </si>
  <si>
    <t>Date quotation due back:</t>
  </si>
  <si>
    <t>Contact
name</t>
  </si>
  <si>
    <t xml:space="preserve">Contact
name </t>
  </si>
  <si>
    <t>E-mail</t>
  </si>
  <si>
    <t>Date items required by:</t>
  </si>
  <si>
    <t>Delivery address:</t>
  </si>
  <si>
    <t>Delivery method (if applicable):</t>
  </si>
  <si>
    <t xml:space="preserve">Line item no. </t>
  </si>
  <si>
    <r>
      <t xml:space="preserve">Description of Goods / Services
</t>
    </r>
    <r>
      <rPr>
        <sz val="8"/>
        <rFont val="Arial"/>
        <family val="2"/>
      </rPr>
      <t>(add attachment for technical specification if very detailed)</t>
    </r>
  </si>
  <si>
    <t xml:space="preserve">Quantity required </t>
  </si>
  <si>
    <t>Unit Price</t>
  </si>
  <si>
    <t>Total Price</t>
  </si>
  <si>
    <t xml:space="preserve">Availability date </t>
  </si>
  <si>
    <t>Subtotal</t>
  </si>
  <si>
    <t>Delivery charge (if applicable)</t>
  </si>
  <si>
    <t xml:space="preserve">Additional information required from supplier: </t>
  </si>
  <si>
    <t>Other charges (if applicable)</t>
  </si>
  <si>
    <t>TOTAL</t>
  </si>
  <si>
    <t xml:space="preserve">[4] </t>
  </si>
  <si>
    <t>Form Guidance</t>
  </si>
  <si>
    <t xml:space="preserve">The Request for Quotation is a form that is given to suppliers to ask them to provide price and other required information to bid to supply the goods and services required by Save the Children. 
Clear information on the specifcation and other requirements should be provided to the suppliers to enable them to quote. It is not critical for suppliers to use this form, however it can be useful in many circumstances. </t>
  </si>
  <si>
    <t>Header</t>
  </si>
  <si>
    <t>Explanation</t>
  </si>
  <si>
    <t xml:space="preserve">PR no. </t>
  </si>
  <si>
    <t>Reference to original procurement request number. Multiple numbers can be listed here if the procurement has beene consolidated</t>
  </si>
  <si>
    <t>Date RFQ sent out</t>
  </si>
  <si>
    <t xml:space="preserve">Date RFQs sent / given to prospective bidders </t>
  </si>
  <si>
    <t>Date quotation due back</t>
  </si>
  <si>
    <t xml:space="preserve">Advise the suppliers here of the date that you expect them to submit quotes by. This should include enough time for them to complete it. </t>
  </si>
  <si>
    <t>Procurement person responsible</t>
  </si>
  <si>
    <t>List here the person who is managing the procurement, so that if quotes are returned to Reception, they know who to give them to</t>
  </si>
  <si>
    <t>Supplier</t>
  </si>
  <si>
    <t>Fill out the supplier name that you are giving this copy of the RFQ to</t>
  </si>
  <si>
    <t>Supplier contact details</t>
  </si>
  <si>
    <t>The supplier can fill out their own contact details</t>
  </si>
  <si>
    <t>Return quotation to</t>
  </si>
  <si>
    <t>Complete the details of where the suppliers should send / hand in their quotations</t>
  </si>
  <si>
    <t>Date items required by</t>
  </si>
  <si>
    <t xml:space="preserve">Inform the supplier of the delivery deadline for the items being quoted for </t>
  </si>
  <si>
    <t>Delivery address</t>
  </si>
  <si>
    <t>Indicate here where the supplier will have to deliver the items (if appropriate) if they win the bid</t>
  </si>
  <si>
    <t xml:space="preserve">Delivery method </t>
  </si>
  <si>
    <t>If applicable, the supplier can be advised how the items should be freighted</t>
  </si>
  <si>
    <t>Payment terms</t>
  </si>
  <si>
    <t xml:space="preserve">Instruct the supplier of the payment terms that you will be using for this order. Please note SC policy does not allow advance payments unless in exceptional circumstances. </t>
  </si>
  <si>
    <t>Line item</t>
  </si>
  <si>
    <t>Line item of the goods</t>
  </si>
  <si>
    <t>Description of Goods / Services</t>
  </si>
  <si>
    <t>Description of item and any specifications required. Indicate all information on the technical specification of the goods. If the description of the goods requires a longer specification to be provided in order for suppliers to be able to quote properly, indicate 'attached' here and attach the spec to the RFQ</t>
  </si>
  <si>
    <t>Unit</t>
  </si>
  <si>
    <t>Standard unit of distribution, ie. Kit, piece, book, roll, box, packet of 100g, tablet, bottle, jar vial etc</t>
  </si>
  <si>
    <t>Quantity required</t>
  </si>
  <si>
    <t>Number of units required</t>
  </si>
  <si>
    <t>Leave blank for supplier to put their price per unit in</t>
  </si>
  <si>
    <t>Total price</t>
  </si>
  <si>
    <t>Leave blank for supplier to put their total price</t>
  </si>
  <si>
    <t xml:space="preserve">Leave blank for supplier to confirm if they can meet the required availability date for the goods </t>
  </si>
  <si>
    <t>Sales tax &amp; delivery charge</t>
  </si>
  <si>
    <t xml:space="preserve">Supplier should also add these if appropriate </t>
  </si>
  <si>
    <t>Additional information required from supplier</t>
  </si>
  <si>
    <t>The Procurement Team should write here any additional questions that they would like the suppliers to answer to show that they provide value for money. The criteria of purchase that the programme have written on the PR can be used to draft these questions. For example: 
 - How long is the quote valid for?
 - What goods are in stock?
 - What quality standards are used?</t>
  </si>
  <si>
    <t>Supplier confirmation of offer</t>
  </si>
  <si>
    <t>The supplier should sign and stamp the form to confirm that their offer is bonafide and that they accept the terms and conditions on the back</t>
  </si>
  <si>
    <t xml:space="preserve">The Terms and Conditions of Purchase should be sent to the supplier, on the back of the RFQ or as a separate document attached. </t>
  </si>
  <si>
    <t>SAVE THE CHILDREN</t>
  </si>
  <si>
    <t>REQUEST FOR QUOTATION</t>
  </si>
  <si>
    <r>
      <t xml:space="preserve">Save the Children is an international Non-Governmental Organisation working to create lasting and positive 
change in the lives of children in need. 
We kindly request your best quotation for the below items. 
</t>
    </r>
    <r>
      <rPr>
        <b/>
        <sz val="10"/>
        <rFont val="Arial"/>
        <family val="2"/>
      </rPr>
      <t>THIS IS NOT A PURCHASE ORDER.</t>
    </r>
    <r>
      <rPr>
        <sz val="10"/>
        <rFont val="Arial"/>
        <family val="2"/>
      </rPr>
      <t xml:space="preserve"> Should a purchase order be placed subsequent to this quotation, the 
terms and conditions of purchase on the back of this document will apply. 
Save the Children may, unless the supplier expressly stipulates to the contrary, accept whatever part of the offer that we so wish.</t>
    </r>
  </si>
  <si>
    <t>PR
 no(s):</t>
  </si>
  <si>
    <t>PR/JAC/2012/004</t>
  </si>
  <si>
    <t>PR/JAC/2012/006</t>
  </si>
  <si>
    <t>Procurement person responsible:</t>
  </si>
  <si>
    <t>G. Philora</t>
  </si>
  <si>
    <t>SUPPLIER NAME:  Stationary Express</t>
  </si>
  <si>
    <t xml:space="preserve">RETURN QUOTATION TO:   SAVE THE CHILDREN </t>
  </si>
  <si>
    <t>Mr. Laplune</t>
  </si>
  <si>
    <t>gurmeet.philora@savethechildren.org</t>
  </si>
  <si>
    <t>Phone</t>
  </si>
  <si>
    <t>+509 0000000</t>
  </si>
  <si>
    <t>Fax</t>
  </si>
  <si>
    <t>+509 0000001</t>
  </si>
  <si>
    <t>Mobile</t>
  </si>
  <si>
    <t>+509 0000002</t>
  </si>
  <si>
    <t>Address</t>
  </si>
  <si>
    <t>Building no. 1, Jacmel</t>
  </si>
  <si>
    <t>Building no. 1 Jacmel</t>
  </si>
  <si>
    <t>Sea &amp; inland transport</t>
  </si>
  <si>
    <t>Payment terms:</t>
  </si>
  <si>
    <t>30 days</t>
  </si>
  <si>
    <t>For supplier to fill in:</t>
  </si>
  <si>
    <t>Unit / Form</t>
  </si>
  <si>
    <t xml:space="preserve">Currency </t>
  </si>
  <si>
    <t>Book, exercise, A4</t>
  </si>
  <si>
    <t>pce</t>
  </si>
  <si>
    <t>Pen, ballpoint, blue</t>
  </si>
  <si>
    <t>box of 20</t>
  </si>
  <si>
    <t>Flipchart paper</t>
  </si>
  <si>
    <t>pad</t>
  </si>
  <si>
    <t>Paper A4</t>
  </si>
  <si>
    <t>ream</t>
  </si>
  <si>
    <t>Notepad, A5</t>
  </si>
  <si>
    <t>Paper clips</t>
  </si>
  <si>
    <t>box</t>
  </si>
  <si>
    <t>Add more lines to the RFQ if required</t>
  </si>
  <si>
    <t>Sales tax (if applicable)</t>
  </si>
  <si>
    <t>[1] Quote validity period</t>
  </si>
  <si>
    <t>[2] Packed weights &amp; dimensions of goods</t>
  </si>
  <si>
    <t>[3] Alternatives for any goods not able to supply</t>
  </si>
  <si>
    <t>[4] Provide samples of paper quality</t>
  </si>
  <si>
    <t xml:space="preserve">Supplier confirmation of offer </t>
  </si>
  <si>
    <t>Supplier stamp</t>
  </si>
  <si>
    <t>Name</t>
  </si>
  <si>
    <t>Title</t>
  </si>
  <si>
    <t>Signature</t>
  </si>
  <si>
    <t>Currency: VND</t>
  </si>
  <si>
    <t>YÊU CẦU BÁO GIÁ</t>
  </si>
  <si>
    <t>Ngày gửi yêu cầu báo giá:</t>
  </si>
  <si>
    <t>Hạn cuối nhận báo giá:</t>
  </si>
  <si>
    <t xml:space="preserve">TÊN NHÀ CUNG CẤP: </t>
  </si>
  <si>
    <t>Người liên hệ</t>
  </si>
  <si>
    <t>Người liên hệ:</t>
  </si>
  <si>
    <t xml:space="preserve">Thời hạn cần nhận hàng: </t>
  </si>
  <si>
    <t>Địa chỉ giao hàng:</t>
  </si>
  <si>
    <t>Phương thức giao hàng (nếu áp dụng)::</t>
  </si>
  <si>
    <t>Điều khoản thanh toán:</t>
  </si>
  <si>
    <t>Đơn vị tính</t>
  </si>
  <si>
    <t>Số lượng yêu cầu</t>
  </si>
  <si>
    <t>Đơn giá</t>
  </si>
  <si>
    <t>Thành tiền</t>
  </si>
  <si>
    <t>Ngày có hàng</t>
  </si>
  <si>
    <t>Tạm tính</t>
  </si>
  <si>
    <t xml:space="preserve">	Phí giao hàng (nếu có)</t>
  </si>
  <si>
    <t xml:space="preserve">	Chiết khấu (nếu có)</t>
  </si>
  <si>
    <t xml:space="preserve">	Chi phí khác (nếu có)</t>
  </si>
  <si>
    <t>TỔNG CỘNG</t>
  </si>
  <si>
    <t xml:space="preserve">Thông tin bổ sung yêu cầu từ nhà cung cấp:: </t>
  </si>
  <si>
    <t xml:space="preserve">[1]  </t>
  </si>
  <si>
    <t xml:space="preserve">[2]  </t>
  </si>
  <si>
    <t xml:space="preserve">[3] </t>
  </si>
  <si>
    <t xml:space="preserve">Ghi chú: </t>
  </si>
  <si>
    <t>Địa chỉ SXKD: Thôn Mỹ Lộc, Xã Tiến Thắng, Thành phố Hà Nội</t>
  </si>
  <si>
    <t>Địa chỉ trụ sở: Xóm Trại, Thôn Đông, Xã Thiên Lộc, TP Hà Nội, Việt Nam</t>
  </si>
  <si>
    <t>CÔNG TY CỔ PHẦN SẢN XUẤT TỰ ĐỘNG HÓA CÔNG NGHỆ TOÀN CẦU (GTAM JSC)</t>
  </si>
  <si>
    <t>Mã số thuế: 0110409405</t>
  </si>
  <si>
    <t>sonnt@gtam.vn</t>
  </si>
  <si>
    <t>Nguyễn Thái Sơn</t>
  </si>
  <si>
    <t>Thôn Mỹ Lộc, Xã Tiến Thắng, Thành phố Hà Nội</t>
  </si>
  <si>
    <t>Điện thoại:</t>
  </si>
  <si>
    <t>Dành cho nhà cung cấp điền thông tin:</t>
  </si>
  <si>
    <t>Deadline</t>
  </si>
  <si>
    <t xml:space="preserve">Số TT </t>
  </si>
  <si>
    <t>Chúng tôi trân trọng đề nghị quý công ty cung cấp báo giá tốt nhất cho mặt hàng dưới đây:</t>
  </si>
  <si>
    <t>GỬI BÁO GIÁ VỀ: 
CÔNG TY CP SẢN XUẤT TỰ ĐỘNG HÓA CÔNG NGHỆ TOÀN CẦU</t>
  </si>
  <si>
    <r>
      <t xml:space="preserve">Miêu tả hàng hóa / Dịch vụ
</t>
    </r>
    <r>
      <rPr>
        <sz val="8"/>
        <rFont val="Arial"/>
        <family val="2"/>
      </rPr>
      <t>(đính kèm nếu mô tả kỹ thuật quá dài)</t>
    </r>
  </si>
  <si>
    <t>Điện thoại: 0983400018                   Email: info@gtam.vn</t>
  </si>
  <si>
    <t xml:space="preserve">GỬI BÁO GIÁ VỀ: </t>
  </si>
  <si>
    <t xml:space="preserve">TÊN NHÀ CUNG CẤP: 
</t>
  </si>
  <si>
    <t>CÔNG TY CP SẢN XUẤT TỰ ĐỘNG HÓA CÔNG NGHỆ TOÀN CẦU</t>
  </si>
  <si>
    <t>Phương thức giao hàng:</t>
  </si>
  <si>
    <t>Miêu tả hàng hóa / Dịch vụ</t>
  </si>
  <si>
    <t>Ký hiệu / Mã hiệu</t>
  </si>
  <si>
    <t>VAT %</t>
  </si>
  <si>
    <t>Số lượng 
yêu cầu</t>
  </si>
  <si>
    <t>XƯỞNG SXKD</t>
  </si>
  <si>
    <t>CÔNG TY CỔ PHẦN SẢN XUẤT TỰ ĐỘNG HÓA CÔNG NGHỆ TOÀN CẦU</t>
  </si>
  <si>
    <t>Số phiếu:</t>
  </si>
  <si>
    <t>PHIẾU ĐỀ XUẤT VẬT TƯ-NPL</t>
  </si>
  <si>
    <t>Ngày lập:</t>
  </si>
  <si>
    <t>I. Thông tin chung</t>
  </si>
  <si>
    <t>Kính gửi:</t>
  </si>
  <si>
    <t>Người đề xuất:</t>
  </si>
  <si>
    <t>Bộ phận đề xuất:</t>
  </si>
  <si>
    <t>Lý do đề xuất:</t>
  </si>
  <si>
    <t>II. Danh mục vật tư</t>
  </si>
  <si>
    <t>STT</t>
  </si>
  <si>
    <t>Tên vật tư</t>
  </si>
  <si>
    <t>Mã VT</t>
  </si>
  <si>
    <t>Quy cách chi tiết</t>
  </si>
  <si>
    <t>ĐVT</t>
  </si>
  <si>
    <t>SL yêu cầu</t>
  </si>
  <si>
    <t>Tồn kho</t>
  </si>
  <si>
    <t>Duyệt</t>
  </si>
  <si>
    <t>Ngày cần</t>
  </si>
  <si>
    <t>Ưu tiên</t>
  </si>
  <si>
    <t>Phân loại</t>
  </si>
  <si>
    <t>Đơn giá dự kiến (VNĐ)</t>
  </si>
  <si>
    <t>Tổng tiền (VNĐ)</t>
  </si>
  <si>
    <t>Mã tham chiếu</t>
  </si>
  <si>
    <t>Ghi chú</t>
  </si>
  <si>
    <t>Khẩn</t>
  </si>
  <si>
    <t>NPL</t>
  </si>
  <si>
    <t>Link tham khảo</t>
  </si>
  <si>
    <t>Bình thường</t>
  </si>
  <si>
    <t>CCDC</t>
  </si>
  <si>
    <t>Dự phòng</t>
  </si>
  <si>
    <t>Tiêu hao</t>
  </si>
  <si>
    <t>III. Kiểm tra &amp; Phê duyệt</t>
  </si>
  <si>
    <t>Vai trò</t>
  </si>
  <si>
    <t>Họ tên</t>
  </si>
  <si>
    <t>Ký tên / Ngày</t>
  </si>
  <si>
    <t>Người đề xuất</t>
  </si>
  <si>
    <t>Kiểm tra tồn kho</t>
  </si>
  <si>
    <t>Kiểm tra kỹ thuật</t>
  </si>
  <si>
    <t>Trưởng bộ phận</t>
  </si>
  <si>
    <t>Giám đốc</t>
  </si>
  <si>
    <t>IV. Theo dõi</t>
  </si>
  <si>
    <t>Trạng thái</t>
  </si>
  <si>
    <t>Người phụ trách</t>
  </si>
  <si>
    <t>Ngày thực hiện</t>
  </si>
  <si>
    <t>Đã duyệt đề xuất</t>
  </si>
  <si>
    <t>Đã tạo đơn mua (PR/PO)</t>
  </si>
  <si>
    <t>Đã nhận hàng</t>
  </si>
  <si>
    <t>Đã xuất kho</t>
  </si>
  <si>
    <t>Hoàn tất</t>
  </si>
  <si>
    <t>V. Quy tắc quản lý</t>
  </si>
  <si>
    <t>• Vật tư ESD / Non-ESD phải phân loại riêng
• Vật tư lỗi ghi rõ nguyên nhân
• Mua dự phòng cần có giải trình
• Mỗi phiếu chỉ cho 1 dự án / WO
• Khi hàng về kho, cập nhật trạng thái “Đã nhận hàng”</t>
  </si>
  <si>
    <t>Mẫu No: GTAM/PRD-MRF-02 | Phiên bản: 1.0 | Hiệu lực: 2025</t>
  </si>
  <si>
    <t>BICH</t>
  </si>
  <si>
    <t>Bịch</t>
  </si>
  <si>
    <t xml:space="preserve">SET </t>
  </si>
  <si>
    <t>Bộ</t>
  </si>
  <si>
    <t xml:space="preserve">PCE </t>
  </si>
  <si>
    <t>UNY</t>
  </si>
  <si>
    <t>Cây</t>
  </si>
  <si>
    <t>CEN</t>
  </si>
  <si>
    <t>UNA</t>
  </si>
  <si>
    <t>CM2</t>
  </si>
  <si>
    <t>cm2</t>
  </si>
  <si>
    <t>CM3</t>
  </si>
  <si>
    <t>cm3</t>
  </si>
  <si>
    <t>UNC</t>
  </si>
  <si>
    <t>Con</t>
  </si>
  <si>
    <t>CONT</t>
  </si>
  <si>
    <t>CONTAINER</t>
  </si>
  <si>
    <t>UNU</t>
  </si>
  <si>
    <t>Củ</t>
  </si>
  <si>
    <t>CUC</t>
  </si>
  <si>
    <t>Cục</t>
  </si>
  <si>
    <t>CUM</t>
  </si>
  <si>
    <t>Cụm</t>
  </si>
  <si>
    <t>UNN</t>
  </si>
  <si>
    <t>Cuốn</t>
  </si>
  <si>
    <t>ROL</t>
  </si>
  <si>
    <t>Cuộn</t>
  </si>
  <si>
    <t>DM</t>
  </si>
  <si>
    <t>dm</t>
  </si>
  <si>
    <t>DM2</t>
  </si>
  <si>
    <t>dm2</t>
  </si>
  <si>
    <t xml:space="preserve">PR  </t>
  </si>
  <si>
    <t>Đôi/Cặp</t>
  </si>
  <si>
    <t xml:space="preserve">GRM </t>
  </si>
  <si>
    <t>Gam</t>
  </si>
  <si>
    <t>PKG</t>
  </si>
  <si>
    <t>Gói</t>
  </si>
  <si>
    <t>INC</t>
  </si>
  <si>
    <t>Inch</t>
  </si>
  <si>
    <t>UNK</t>
  </si>
  <si>
    <t xml:space="preserve">KGM </t>
  </si>
  <si>
    <t>KIT</t>
  </si>
  <si>
    <t>KVA</t>
  </si>
  <si>
    <t>LIEU</t>
  </si>
  <si>
    <t>Liều</t>
  </si>
  <si>
    <t xml:space="preserve">LTR </t>
  </si>
  <si>
    <t>Lít</t>
  </si>
  <si>
    <t>LOT</t>
  </si>
  <si>
    <t>UNL</t>
  </si>
  <si>
    <t>Lon/Can</t>
  </si>
  <si>
    <t xml:space="preserve">MTR </t>
  </si>
  <si>
    <t>Mét</t>
  </si>
  <si>
    <t xml:space="preserve">MTQ </t>
  </si>
  <si>
    <t>Mét khối</t>
  </si>
  <si>
    <t xml:space="preserve">MTK </t>
  </si>
  <si>
    <t>Mét vuông</t>
  </si>
  <si>
    <t>MGRM</t>
  </si>
  <si>
    <t>Mili gram</t>
  </si>
  <si>
    <t xml:space="preserve">MLT </t>
  </si>
  <si>
    <t>Mili lít</t>
  </si>
  <si>
    <t>MMTR</t>
  </si>
  <si>
    <t>Mili mét</t>
  </si>
  <si>
    <t>MM2</t>
  </si>
  <si>
    <t>mm2</t>
  </si>
  <si>
    <t>MM3</t>
  </si>
  <si>
    <t>mm3</t>
  </si>
  <si>
    <t>PIP</t>
  </si>
  <si>
    <t>Ống</t>
  </si>
  <si>
    <t xml:space="preserve">FOT </t>
  </si>
  <si>
    <t>Phút</t>
  </si>
  <si>
    <t xml:space="preserve">FTQ </t>
  </si>
  <si>
    <t>Phút khối</t>
  </si>
  <si>
    <t xml:space="preserve">FTK </t>
  </si>
  <si>
    <t>Phút vuông</t>
  </si>
  <si>
    <t>UNQ</t>
  </si>
  <si>
    <t>Quả</t>
  </si>
  <si>
    <t>UNB</t>
  </si>
  <si>
    <t>Quyển/Tập</t>
  </si>
  <si>
    <t>RAM</t>
  </si>
  <si>
    <t>SOI</t>
  </si>
  <si>
    <t>Sợi</t>
  </si>
  <si>
    <t xml:space="preserve">DZN </t>
  </si>
  <si>
    <t>Tá</t>
  </si>
  <si>
    <t>TAM</t>
  </si>
  <si>
    <t>Tấm</t>
  </si>
  <si>
    <t xml:space="preserve">TNE </t>
  </si>
  <si>
    <t>Tấn</t>
  </si>
  <si>
    <t>UNT</t>
  </si>
  <si>
    <t>TO</t>
  </si>
  <si>
    <t>Tờ</t>
  </si>
  <si>
    <t>BAG</t>
  </si>
  <si>
    <t>Túi</t>
  </si>
  <si>
    <t>UND</t>
  </si>
  <si>
    <t>Tút</t>
  </si>
  <si>
    <t>UNV</t>
  </si>
  <si>
    <t>UNIT</t>
  </si>
  <si>
    <t>VI</t>
  </si>
  <si>
    <t>Vỉ</t>
  </si>
  <si>
    <t>SYS</t>
  </si>
  <si>
    <t>Hệ thống</t>
  </si>
  <si>
    <t>PRO</t>
  </si>
  <si>
    <t>Sản phẩm</t>
  </si>
  <si>
    <t>PAIL</t>
  </si>
  <si>
    <t>Thùng</t>
  </si>
  <si>
    <t>PAL</t>
  </si>
  <si>
    <t>Pallet</t>
  </si>
  <si>
    <t>Cái</t>
  </si>
  <si>
    <t>Thanh</t>
  </si>
  <si>
    <t>Viên</t>
  </si>
  <si>
    <t>Chai/ Lọ</t>
  </si>
  <si>
    <t xml:space="preserve">Lô </t>
  </si>
  <si>
    <t>cm</t>
  </si>
  <si>
    <t>Kiện/Bao</t>
  </si>
  <si>
    <t>Mũi doa thép</t>
  </si>
  <si>
    <t>D6x50xL100</t>
  </si>
  <si>
    <t>300x300x6T</t>
  </si>
  <si>
    <t>116x35x20T</t>
  </si>
  <si>
    <t>685x345x15T</t>
  </si>
  <si>
    <t>85x140x35T</t>
  </si>
  <si>
    <t>400x360x8T</t>
  </si>
  <si>
    <t>145x30x20T</t>
  </si>
  <si>
    <t>85x45x35T</t>
  </si>
  <si>
    <t>465x369x3</t>
  </si>
  <si>
    <t>MICA (PC TRONG)</t>
  </si>
  <si>
    <t>NHÔM  AL6061</t>
  </si>
  <si>
    <t>Z0000002-304758</t>
  </si>
  <si>
    <t>Bộ Phận Mua Hàng</t>
  </si>
  <si>
    <t>Sản Xuất</t>
  </si>
  <si>
    <t>Mua NPL</t>
  </si>
  <si>
    <t xml:space="preserve">Nguyễn Mạnh Hùng </t>
  </si>
  <si>
    <t>Nguyễn Mạnh Hùng</t>
  </si>
  <si>
    <t>Ngày lập :</t>
  </si>
  <si>
    <t>Ngày lập</t>
  </si>
  <si>
    <t xml:space="preserve">Bu lông inox lục giác chìm đầu bằng </t>
  </si>
  <si>
    <t>m3x8</t>
  </si>
  <si>
    <t>m3x10</t>
  </si>
  <si>
    <t xml:space="preserve">Lục giác chữ T Eight 018-2.5H Japan </t>
  </si>
  <si>
    <t>2x150(hoặc 180 nếu có)mm</t>
  </si>
  <si>
    <t>2.5x150(hoặc 180 nếu có)mm</t>
  </si>
  <si>
    <t>3x150(hoặc 180 nếu có)mm</t>
  </si>
  <si>
    <t>4x150(hoặc 180 nếu có)mm</t>
  </si>
  <si>
    <t>Mua CCDC &amp; Vật Tư tiêu hao</t>
  </si>
  <si>
    <t>Z0000002-404459</t>
  </si>
  <si>
    <t>m3x12</t>
  </si>
  <si>
    <t>Số phiếu :</t>
  </si>
  <si>
    <t xml:space="preserve">mũi taro </t>
  </si>
  <si>
    <t>m3</t>
  </si>
  <si>
    <t>m4</t>
  </si>
  <si>
    <t>m5</t>
  </si>
  <si>
    <t xml:space="preserve">dao </t>
  </si>
  <si>
    <t>8*3F*60L</t>
  </si>
  <si>
    <t>Mua để gia công và dự trù CCDC</t>
  </si>
  <si>
    <t>then</t>
  </si>
  <si>
    <t>5x30x5</t>
  </si>
  <si>
    <t xml:space="preserve">then </t>
  </si>
  <si>
    <t>4*20*4</t>
  </si>
  <si>
    <t>490X350X6</t>
  </si>
  <si>
    <t>Acetal màu đen (pom esd)</t>
  </si>
  <si>
    <t>600X350X5</t>
  </si>
  <si>
    <t>620X390X6</t>
  </si>
  <si>
    <t>450X280X8</t>
  </si>
  <si>
    <t>nhôm AL6061</t>
  </si>
  <si>
    <t>550X390X5</t>
  </si>
  <si>
    <t>450X300X3</t>
  </si>
  <si>
    <t>mica trong</t>
  </si>
  <si>
    <t>520X260X10</t>
  </si>
  <si>
    <t>250X250X10</t>
  </si>
  <si>
    <t>400X200X8</t>
  </si>
  <si>
    <t>685X305X12</t>
  </si>
  <si>
    <t>420X370X10</t>
  </si>
  <si>
    <t>450X330X6</t>
  </si>
  <si>
    <t>412X320X10</t>
  </si>
  <si>
    <t>Z0000002-464707</t>
  </si>
  <si>
    <t>30-31/12/25</t>
  </si>
  <si>
    <t>mua npl chạy hàng (Z0000002-464707)</t>
  </si>
  <si>
    <t>600x350x6</t>
  </si>
  <si>
    <t>490x350x6</t>
  </si>
  <si>
    <t>550x390x6</t>
  </si>
  <si>
    <t>acetal đen(pm esd)</t>
  </si>
  <si>
    <t>685x305x12</t>
  </si>
  <si>
    <t>phôi thiếu kê thêm</t>
  </si>
  <si>
    <t>3-4/1/2026</t>
  </si>
  <si>
    <t xml:space="preserve">mua NPL </t>
  </si>
  <si>
    <t>đã gửi</t>
  </si>
  <si>
    <t>90x40x25t</t>
  </si>
  <si>
    <t>105x45x25</t>
  </si>
  <si>
    <t>90x40x25</t>
  </si>
  <si>
    <t>POM ESD</t>
  </si>
  <si>
    <t>3-4/1/26</t>
  </si>
  <si>
    <t>Z0000002-309329</t>
  </si>
  <si>
    <t xml:space="preserve">Số phiếu : </t>
  </si>
  <si>
    <t>405x390x8</t>
  </si>
  <si>
    <t>450x400x8</t>
  </si>
  <si>
    <t>phôi nhôm AL 6061</t>
  </si>
  <si>
    <t>MICA</t>
  </si>
  <si>
    <t>5-6/1/2026</t>
  </si>
  <si>
    <t>450x330x6</t>
  </si>
  <si>
    <t>pom đen esd</t>
  </si>
  <si>
    <t>kê phôi thiếu cần đặt thêm</t>
  </si>
  <si>
    <t>mua NPL</t>
  </si>
  <si>
    <t>PHI 65x23</t>
  </si>
  <si>
    <t>phôi nhôm AL6061</t>
  </si>
  <si>
    <t>Z0000002-430043</t>
  </si>
  <si>
    <t xml:space="preserve">Thay thế ổ trục băng tải bị lỗi trong vendor , phôi có càng sớm càng tốt </t>
  </si>
  <si>
    <t>590x370x20T</t>
  </si>
  <si>
    <t>370x240x12T</t>
  </si>
  <si>
    <t>PB108 trắng esd ( Pom trắng )</t>
  </si>
  <si>
    <t>Z0000002-156054</t>
  </si>
  <si>
    <t>Z0000002-156055</t>
  </si>
  <si>
    <t>mua npl</t>
  </si>
  <si>
    <t>450x390x15</t>
  </si>
  <si>
    <t>490x300x10</t>
  </si>
  <si>
    <t>Z0000002-463560</t>
  </si>
  <si>
    <t>490x330x3</t>
  </si>
  <si>
    <t>mica</t>
  </si>
  <si>
    <t>12-14/1/2026</t>
  </si>
  <si>
    <t>13-14/1/26</t>
  </si>
  <si>
    <t>Z0000002-391615</t>
  </si>
  <si>
    <t>590x320x12T</t>
  </si>
  <si>
    <t>300x300x9</t>
  </si>
  <si>
    <t>115x25x20T</t>
  </si>
  <si>
    <t>400x300x9</t>
  </si>
  <si>
    <t>315x300x9</t>
  </si>
  <si>
    <t>540x300x9</t>
  </si>
  <si>
    <t>440x300x9</t>
  </si>
  <si>
    <t>600x380x9</t>
  </si>
  <si>
    <t>pom white</t>
  </si>
  <si>
    <t>Z0000002-316854</t>
  </si>
  <si>
    <t>không esd</t>
  </si>
  <si>
    <t>440X320X12</t>
  </si>
  <si>
    <t>420X150X10</t>
  </si>
  <si>
    <t>405X277X10</t>
  </si>
  <si>
    <t>380X312X12</t>
  </si>
  <si>
    <t>75X35X20T</t>
  </si>
  <si>
    <t>365X310X12</t>
  </si>
  <si>
    <t>365X325X12</t>
  </si>
  <si>
    <t>600X380X10</t>
  </si>
  <si>
    <t>380X295X8</t>
  </si>
  <si>
    <t>415X295X12</t>
  </si>
  <si>
    <t>500X380X3</t>
  </si>
  <si>
    <t xml:space="preserve">mica trong </t>
  </si>
  <si>
    <t>490X330X3</t>
  </si>
  <si>
    <t>15-16/1/26</t>
  </si>
  <si>
    <t>Z0000002-262422</t>
  </si>
  <si>
    <t xml:space="preserve">phôi bổ xung băng tải Z0000002-262422 đặt hàng lần 2 </t>
  </si>
  <si>
    <t>360x320x10</t>
  </si>
  <si>
    <t>Z0000002-464435</t>
  </si>
  <si>
    <t>đệm vênh m4</t>
  </si>
  <si>
    <t>đệm vênh m5</t>
  </si>
  <si>
    <t>15-17/1/26</t>
  </si>
  <si>
    <t xml:space="preserve">lắp ráp băng tải và phụ kiện </t>
  </si>
  <si>
    <t>670x350x25</t>
  </si>
  <si>
    <t>16-17/1/26</t>
  </si>
  <si>
    <t>Lắp ráp</t>
  </si>
  <si>
    <t>Lê Xuân Hòa</t>
  </si>
  <si>
    <t>mua NPL lắp ráp các Code hàng 738+219+220</t>
  </si>
  <si>
    <t>Đầu bằng</t>
  </si>
  <si>
    <t>Đầu trụ</t>
  </si>
  <si>
    <t>Ngoài</t>
  </si>
  <si>
    <t>Keo Khóa Ren Kim Loại 500 ml LOCTTLF 277 Tự Dính Tiện Lợi</t>
  </si>
  <si>
    <t>500 ml</t>
  </si>
  <si>
    <t xml:space="preserve">Khoan </t>
  </si>
  <si>
    <t xml:space="preserve">Bu lông inox lục giác chìm M3 x 4 </t>
  </si>
  <si>
    <t>Bu lông inox lục giác chìm M3 x 10</t>
  </si>
  <si>
    <t>Bu lông inox lục giác chìm M4 x 6</t>
  </si>
  <si>
    <t xml:space="preserve">Bu lông inox lục giác chìm M4 x 4 </t>
  </si>
  <si>
    <t>Bu lông inox lục giác chìm M4 x 8</t>
  </si>
  <si>
    <t>Bu lông inox lục giác chìm M4 x 10</t>
  </si>
  <si>
    <t>Bu lông inox lục giác chìm M4 x 12</t>
  </si>
  <si>
    <t>Phanh trục (phe gài trục) Fi 6</t>
  </si>
  <si>
    <t>Phanh trục (phe gài trục) Fi 8</t>
  </si>
  <si>
    <t>Doa</t>
  </si>
  <si>
    <t>8 H7</t>
  </si>
  <si>
    <t>10 H7</t>
  </si>
  <si>
    <t>7/5/206</t>
  </si>
  <si>
    <t>Code hàng 738+219+220</t>
  </si>
  <si>
    <t>Dây Thít Đen 3x100mm Gói 1000PCS</t>
  </si>
  <si>
    <t>Dây thít 5x250 - Lạt nhựa 5x250</t>
  </si>
  <si>
    <t>Dây thít 4x250 - Lạt nhựa 4x250</t>
  </si>
  <si>
    <t>3 x 100</t>
  </si>
  <si>
    <t>4 x 250</t>
  </si>
  <si>
    <t>5 x 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</si>
</sst>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14809]dd/mm/yyyy;@"/>
    <numFmt numFmtId="165" formatCode="_(* #,##0_);_(* \(#,##0\);_(* &quot;-&quot;??_);_(@_)"/>
  </numFmts>
  <fonts count="54" x14ac:knownFonts="1">
    <font>
      <sz val="10"/>
      <name val="Arial"/>
    </font>
    <font>
      <sz val="12"/>
      <color theme="1"/>
      <name val="Aptos Narrow"/>
      <family val="2"/>
    </font>
    <font>
      <sz val="12"/>
      <color theme="1"/>
      <name val="Aptos Narrow"/>
      <family val="2"/>
    </font>
    <font>
      <b/>
      <sz val="18"/>
      <color indexed="9"/>
      <name val="Arial"/>
      <family val="2"/>
    </font>
    <font>
      <b/>
      <sz val="8"/>
      <name val="Arial"/>
      <family val="2"/>
    </font>
    <font>
      <b/>
      <sz val="10"/>
      <name val="Arial"/>
      <family val="2"/>
    </font>
    <font>
      <b/>
      <sz val="12"/>
      <name val="Arial"/>
      <family val="2"/>
    </font>
    <font>
      <sz val="8"/>
      <name val="Arial"/>
      <family val="2"/>
    </font>
    <font>
      <sz val="10"/>
      <name val="Arial"/>
      <family val="2"/>
    </font>
    <font>
      <b/>
      <i/>
      <sz val="10"/>
      <name val="Arial"/>
      <family val="2"/>
    </font>
    <font>
      <b/>
      <sz val="10"/>
      <color indexed="10"/>
      <name val="Arial"/>
      <family val="2"/>
    </font>
    <font>
      <i/>
      <sz val="8"/>
      <name val="Arial"/>
      <family val="2"/>
    </font>
    <font>
      <sz val="18"/>
      <name val="Arial"/>
      <family val="2"/>
    </font>
    <font>
      <sz val="11"/>
      <name val="Arial"/>
      <family val="2"/>
    </font>
    <font>
      <b/>
      <sz val="14"/>
      <name val="Arial"/>
      <family val="2"/>
    </font>
    <font>
      <u/>
      <sz val="10"/>
      <color theme="10"/>
      <name val="Arial"/>
      <family val="2"/>
    </font>
    <font>
      <b/>
      <sz val="10"/>
      <color rgb="FFFF0000"/>
      <name val="Arial"/>
      <family val="2"/>
    </font>
    <font>
      <sz val="12"/>
      <name val="Times New Roman"/>
      <family val="1"/>
    </font>
    <font>
      <sz val="28"/>
      <color theme="0"/>
      <name val="Arial"/>
      <family val="2"/>
    </font>
    <font>
      <sz val="10"/>
      <name val="Arial"/>
      <family val="2"/>
    </font>
    <font>
      <sz val="11"/>
      <color theme="0"/>
      <name val="Arial"/>
      <family val="2"/>
    </font>
    <font>
      <sz val="10"/>
      <color theme="0"/>
      <name val="Arial"/>
      <family val="2"/>
    </font>
    <font>
      <b/>
      <sz val="12"/>
      <color theme="0"/>
      <name val="Arial"/>
      <family val="2"/>
    </font>
    <font>
      <b/>
      <sz val="10"/>
      <color theme="0"/>
      <name val="Arial"/>
      <family val="2"/>
    </font>
    <font>
      <sz val="10"/>
      <color rgb="FFFF0000"/>
      <name val="Arial"/>
      <family val="2"/>
    </font>
    <font>
      <sz val="11"/>
      <color theme="1"/>
      <name val="Calibri"/>
      <family val="2"/>
      <scheme val="minor"/>
    </font>
    <font>
      <u/>
      <sz val="11"/>
      <color theme="10"/>
      <name val="Calibri"/>
      <family val="2"/>
      <scheme val="minor"/>
    </font>
    <font>
      <b/>
      <sz val="12"/>
      <color theme="1"/>
      <name val="Aptos Narrow"/>
      <family val="2"/>
    </font>
    <font>
      <b/>
      <sz val="14"/>
      <color theme="1"/>
      <name val="Aptos Narrow"/>
      <family val="2"/>
    </font>
    <font>
      <b/>
      <sz val="12"/>
      <color rgb="FFFFFFFF"/>
      <name val="Aptos Narrow"/>
      <family val="2"/>
    </font>
    <font>
      <b/>
      <sz val="12"/>
      <name val="Aptos Narrow"/>
      <family val="2"/>
    </font>
    <font>
      <b/>
      <sz val="24"/>
      <name val="Aptos Narrow"/>
      <family val="2"/>
    </font>
    <font>
      <b/>
      <sz val="20"/>
      <name val="Aptos Narrow"/>
      <family val="2"/>
    </font>
    <font>
      <sz val="12"/>
      <name val="Aptos Narrow"/>
      <family val="2"/>
    </font>
    <font>
      <i/>
      <sz val="12"/>
      <color rgb="FF757575"/>
      <name val="Aptos Narrow"/>
      <family val="2"/>
    </font>
    <font>
      <sz val="11"/>
      <color theme="0"/>
      <name val="Aptos Narrow"/>
      <family val="2"/>
    </font>
    <font>
      <sz val="10"/>
      <name val="Aptos Narrow"/>
      <family val="2"/>
    </font>
    <font>
      <b/>
      <sz val="18"/>
      <color indexed="9"/>
      <name val="Aptos Narrow"/>
      <family val="2"/>
    </font>
    <font>
      <b/>
      <sz val="12"/>
      <color theme="0"/>
      <name val="Aptos Narrow"/>
      <family val="2"/>
    </font>
    <font>
      <sz val="18"/>
      <name val="Aptos Narrow"/>
      <family val="2"/>
    </font>
    <font>
      <sz val="11"/>
      <name val="Aptos Narrow"/>
      <family val="2"/>
    </font>
    <font>
      <sz val="28"/>
      <color theme="0"/>
      <name val="Aptos Narrow"/>
      <family val="2"/>
    </font>
    <font>
      <sz val="10"/>
      <color theme="0"/>
      <name val="Aptos Narrow"/>
      <family val="2"/>
    </font>
    <font>
      <b/>
      <sz val="10"/>
      <color rgb="FFFF0000"/>
      <name val="Aptos Narrow"/>
      <family val="2"/>
    </font>
    <font>
      <b/>
      <sz val="10"/>
      <name val="Aptos Narrow"/>
      <family val="2"/>
    </font>
    <font>
      <sz val="10"/>
      <color rgb="FFFF0000"/>
      <name val="Aptos Narrow"/>
      <family val="2"/>
    </font>
    <font>
      <b/>
      <sz val="8"/>
      <name val="Aptos Narrow"/>
      <family val="2"/>
    </font>
    <font>
      <b/>
      <sz val="11"/>
      <name val="Aptos Narrow"/>
      <family val="2"/>
    </font>
    <font>
      <b/>
      <sz val="11"/>
      <color theme="0"/>
      <name val="Aptos Narrow"/>
      <family val="2"/>
    </font>
    <font>
      <b/>
      <sz val="11"/>
      <color rgb="FFFF0000"/>
      <name val="Aptos Narrow"/>
      <family val="2"/>
    </font>
    <font>
      <i/>
      <sz val="12"/>
      <color theme="0" tint="-0.249977111117893"/>
      <name val="Aptos Narrow"/>
      <family val="2"/>
    </font>
    <font>
      <b/>
      <sz val="12"/>
      <color rgb="FFFF0000"/>
      <name val="Aptos Narrow"/>
      <family val="2"/>
    </font>
    <font>
      <sz val="13"/>
      <color rgb="FF000000"/>
      <name val="Times New Roman"/>
      <family val="1"/>
    </font>
    <font>
      <sz val="12"/>
      <color rgb="FF081B3A"/>
      <name val="Aptos Narrow"/>
      <family val="2"/>
    </font>
  </fonts>
  <fills count="11">
    <fill>
      <patternFill patternType="none"/>
    </fill>
    <fill>
      <patternFill patternType="gray125"/>
    </fill>
    <fill>
      <patternFill patternType="solid">
        <fgColor indexed="10"/>
        <bgColor indexed="64"/>
      </patternFill>
    </fill>
    <fill>
      <patternFill patternType="solid">
        <fgColor theme="0" tint="-0.14999847407452621"/>
        <bgColor indexed="64"/>
      </patternFill>
    </fill>
    <fill>
      <patternFill patternType="solid">
        <fgColor theme="0"/>
        <bgColor indexed="64"/>
      </patternFill>
    </fill>
    <fill>
      <patternFill patternType="solid">
        <fgColor rgb="FF002060"/>
        <bgColor indexed="64"/>
      </patternFill>
    </fill>
    <fill>
      <patternFill patternType="solid">
        <fgColor rgb="FF005D9F"/>
        <bgColor indexed="64"/>
      </patternFill>
    </fill>
    <fill>
      <patternFill patternType="solid">
        <fgColor theme="0" tint="-4.9989318521683403E-2"/>
        <bgColor indexed="64"/>
      </patternFill>
    </fill>
    <fill>
      <patternFill patternType="solid">
        <fgColor rgb="FFF5F5F5"/>
      </patternFill>
    </fill>
    <fill>
      <patternFill patternType="solid">
        <fgColor rgb="FFFFFFFF"/>
      </patternFill>
    </fill>
    <fill>
      <patternFill patternType="solid">
        <fgColor rgb="FFEEEEEE"/>
      </patternFill>
    </fill>
  </fills>
  <borders count="80">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style="thin">
        <color indexed="64"/>
      </top>
      <bottom style="medium">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style="thin">
        <color indexed="64"/>
      </bottom>
      <diagonal/>
    </border>
    <border>
      <left/>
      <right/>
      <top style="medium">
        <color theme="0" tint="-0.34998626667073579"/>
      </top>
      <bottom style="thin">
        <color indexed="64"/>
      </bottom>
      <diagonal/>
    </border>
    <border>
      <left style="medium">
        <color theme="0" tint="-0.34998626667073579"/>
      </left>
      <right/>
      <top style="thin">
        <color indexed="64"/>
      </top>
      <bottom style="thin">
        <color indexed="64"/>
      </bottom>
      <diagonal/>
    </border>
    <border>
      <left style="medium">
        <color theme="0" tint="-0.34998626667073579"/>
      </left>
      <right/>
      <top style="thin">
        <color indexed="64"/>
      </top>
      <bottom style="medium">
        <color theme="0" tint="-0.34998626667073579"/>
      </bottom>
      <diagonal/>
    </border>
    <border>
      <left/>
      <right style="medium">
        <color theme="0" tint="-0.34998626667073579"/>
      </right>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indexed="64"/>
      </left>
      <right/>
      <top/>
      <bottom style="thin">
        <color indexed="64"/>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style="medium">
        <color theme="0" tint="-0.34998626667073579"/>
      </bottom>
      <diagonal/>
    </border>
    <border>
      <left/>
      <right/>
      <top/>
      <bottom style="thin">
        <color indexed="64"/>
      </bottom>
      <diagonal/>
    </border>
    <border>
      <left/>
      <right style="thin">
        <color indexed="64"/>
      </right>
      <top style="thin">
        <color indexed="64"/>
      </top>
      <bottom/>
      <diagonal/>
    </border>
    <border>
      <left style="thin">
        <color rgb="FFBDBDBD"/>
      </left>
      <right style="thin">
        <color rgb="FFBDBDBD"/>
      </right>
      <top/>
      <bottom style="thin">
        <color rgb="FFBDBDBD"/>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right/>
      <top style="thin">
        <color rgb="FFBDBDBD"/>
      </top>
      <bottom/>
      <diagonal/>
    </border>
    <border>
      <left style="thin">
        <color rgb="FFBDBDBD"/>
      </left>
      <right style="thin">
        <color rgb="FFBDBDBD"/>
      </right>
      <top style="thin">
        <color rgb="FFBDBDBD"/>
      </top>
      <bottom/>
      <diagonal/>
    </border>
    <border>
      <left style="thin">
        <color rgb="FFBDBDBD"/>
      </left>
      <right style="thin">
        <color rgb="FFBDBDBD"/>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0">
    <xf numFmtId="0" fontId="0" fillId="0" borderId="0"/>
    <xf numFmtId="0" fontId="15" fillId="0" borderId="0" applyNumberFormat="0" applyFill="0" applyBorder="0" applyAlignment="0" applyProtection="0"/>
    <xf numFmtId="44" fontId="8" fillId="0" borderId="0" applyFont="0" applyFill="0" applyBorder="0" applyAlignment="0" applyProtection="0"/>
    <xf numFmtId="43" fontId="19" fillId="0" borderId="0" applyFont="0" applyFill="0" applyBorder="0" applyAlignment="0" applyProtection="0"/>
    <xf numFmtId="0" fontId="8" fillId="0" borderId="0"/>
    <xf numFmtId="0" fontId="15" fillId="0" borderId="0" applyNumberFormat="0" applyFill="0" applyBorder="0" applyAlignment="0" applyProtection="0"/>
    <xf numFmtId="0" fontId="2" fillId="0" borderId="0"/>
    <xf numFmtId="43" fontId="8" fillId="0" borderId="0" applyFont="0" applyFill="0" applyBorder="0" applyAlignment="0" applyProtection="0"/>
    <xf numFmtId="0" fontId="25" fillId="0" borderId="0"/>
    <xf numFmtId="0" fontId="26" fillId="0" borderId="0" applyNumberFormat="0" applyFill="0" applyBorder="0" applyAlignment="0" applyProtection="0"/>
  </cellStyleXfs>
  <cellXfs count="479">
    <xf numFmtId="0" fontId="0" fillId="0" borderId="0" xfId="0"/>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6" fillId="0" borderId="1" xfId="0" applyFont="1" applyBorder="1"/>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3" fillId="2" borderId="0" xfId="0" applyFont="1" applyFill="1" applyAlignment="1">
      <alignment horizontal="left"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3" xfId="0" applyFont="1" applyBorder="1" applyAlignment="1">
      <alignment vertical="distributed" wrapText="1"/>
    </xf>
    <xf numFmtId="0" fontId="0" fillId="0" borderId="4" xfId="0" applyBorder="1" applyAlignment="1">
      <alignment vertical="center"/>
    </xf>
    <xf numFmtId="0" fontId="4" fillId="0" borderId="0" xfId="0" applyFont="1" applyAlignment="1">
      <alignment vertical="center" wrapText="1"/>
    </xf>
    <xf numFmtId="0" fontId="4" fillId="0" borderId="5" xfId="0" applyFont="1" applyBorder="1" applyAlignment="1">
      <alignment vertical="center"/>
    </xf>
    <xf numFmtId="0" fontId="5" fillId="0" borderId="7" xfId="0" applyFont="1" applyBorder="1" applyAlignment="1">
      <alignment vertical="center"/>
    </xf>
    <xf numFmtId="0" fontId="5" fillId="0" borderId="0" xfId="0" applyFont="1" applyAlignment="1">
      <alignment vertical="center"/>
    </xf>
    <xf numFmtId="0" fontId="8" fillId="0" borderId="0" xfId="0" applyFont="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10" fillId="0" borderId="0" xfId="0" applyFont="1" applyAlignment="1">
      <alignment horizontal="right" vertical="center"/>
    </xf>
    <xf numFmtId="0" fontId="5" fillId="3" borderId="15" xfId="0" applyFont="1" applyFill="1" applyBorder="1" applyAlignment="1">
      <alignment horizontal="center" vertical="center" wrapText="1"/>
    </xf>
    <xf numFmtId="0" fontId="5" fillId="3" borderId="16" xfId="0" applyFont="1" applyFill="1" applyBorder="1" applyAlignment="1">
      <alignment vertical="center"/>
    </xf>
    <xf numFmtId="0" fontId="5"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5" fillId="3" borderId="6" xfId="0" applyFont="1" applyFill="1" applyBorder="1" applyAlignment="1">
      <alignment vertical="center"/>
    </xf>
    <xf numFmtId="0" fontId="5" fillId="3" borderId="19" xfId="0" applyFont="1" applyFill="1" applyBorder="1" applyAlignment="1">
      <alignment vertical="center"/>
    </xf>
    <xf numFmtId="0" fontId="8" fillId="0" borderId="3" xfId="0" applyFont="1" applyBorder="1" applyAlignment="1">
      <alignment vertical="center" wrapText="1"/>
    </xf>
    <xf numFmtId="0" fontId="8" fillId="0" borderId="2" xfId="0" applyFont="1" applyBorder="1" applyAlignment="1">
      <alignment vertical="center" wrapText="1"/>
    </xf>
    <xf numFmtId="0" fontId="5" fillId="0" borderId="19" xfId="0" applyFont="1" applyBorder="1" applyAlignment="1">
      <alignment vertical="center"/>
    </xf>
    <xf numFmtId="0" fontId="5" fillId="3" borderId="7" xfId="0" applyFont="1" applyFill="1" applyBorder="1" applyAlignment="1">
      <alignment vertical="center"/>
    </xf>
    <xf numFmtId="0" fontId="5" fillId="3" borderId="6" xfId="0" applyFont="1" applyFill="1" applyBorder="1" applyAlignment="1">
      <alignment horizontal="center" vertical="center"/>
    </xf>
    <xf numFmtId="0" fontId="11" fillId="0" borderId="0" xfId="0" applyFont="1" applyAlignment="1">
      <alignment horizontal="left" vertical="center"/>
    </xf>
    <xf numFmtId="0" fontId="3" fillId="2" borderId="0" xfId="0" applyFont="1" applyFill="1" applyAlignment="1">
      <alignment horizontal="right" vertical="center"/>
    </xf>
    <xf numFmtId="0" fontId="3" fillId="2" borderId="0" xfId="0" applyFont="1" applyFill="1" applyAlignment="1">
      <alignment vertical="center"/>
    </xf>
    <xf numFmtId="0" fontId="5" fillId="3" borderId="25" xfId="0" applyFont="1" applyFill="1" applyBorder="1" applyAlignment="1">
      <alignment vertical="center"/>
    </xf>
    <xf numFmtId="0" fontId="5" fillId="3" borderId="26" xfId="0" applyFont="1" applyFill="1" applyBorder="1" applyAlignment="1">
      <alignment vertical="center"/>
    </xf>
    <xf numFmtId="0" fontId="5" fillId="3" borderId="27" xfId="0" applyFont="1" applyFill="1" applyBorder="1" applyAlignment="1">
      <alignment vertical="center"/>
    </xf>
    <xf numFmtId="0" fontId="5" fillId="3" borderId="28" xfId="0" applyFont="1" applyFill="1" applyBorder="1" applyAlignment="1">
      <alignment vertical="center"/>
    </xf>
    <xf numFmtId="0" fontId="5" fillId="0" borderId="4" xfId="0" applyFont="1" applyBorder="1" applyAlignment="1">
      <alignment vertical="center"/>
    </xf>
    <xf numFmtId="0" fontId="5" fillId="3" borderId="16" xfId="0" applyFont="1" applyFill="1" applyBorder="1" applyAlignment="1">
      <alignment vertical="center" wrapText="1"/>
    </xf>
    <xf numFmtId="0" fontId="0" fillId="0" borderId="0" xfId="0" applyAlignment="1">
      <alignment vertical="center" wrapText="1"/>
    </xf>
    <xf numFmtId="0" fontId="5" fillId="3" borderId="42" xfId="0" applyFont="1" applyFill="1" applyBorder="1" applyAlignment="1">
      <alignment horizontal="center" vertical="center" wrapText="1"/>
    </xf>
    <xf numFmtId="0" fontId="10" fillId="3" borderId="2" xfId="0" applyFont="1" applyFill="1" applyBorder="1" applyAlignment="1">
      <alignment horizontal="center" vertical="center"/>
    </xf>
    <xf numFmtId="0" fontId="5" fillId="3" borderId="19" xfId="0" applyFont="1" applyFill="1" applyBorder="1" applyAlignment="1">
      <alignment horizontal="left" vertical="center"/>
    </xf>
    <xf numFmtId="0" fontId="8" fillId="3" borderId="7" xfId="0" applyFont="1" applyFill="1" applyBorder="1" applyAlignment="1">
      <alignment horizontal="center" vertical="center"/>
    </xf>
    <xf numFmtId="0" fontId="12" fillId="2" borderId="0" xfId="0" applyFont="1" applyFill="1" applyAlignment="1">
      <alignment horizontal="center" vertical="center"/>
    </xf>
    <xf numFmtId="0" fontId="12" fillId="0" borderId="0" xfId="0" applyFont="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0" fontId="0" fillId="0" borderId="8" xfId="0" applyBorder="1" applyAlignment="1">
      <alignment horizontal="left" vertical="center"/>
    </xf>
    <xf numFmtId="0" fontId="0" fillId="0" borderId="11" xfId="0" applyBorder="1" applyAlignment="1">
      <alignment horizontal="left" vertical="center"/>
    </xf>
    <xf numFmtId="0" fontId="0" fillId="0" borderId="13" xfId="0" applyBorder="1" applyAlignment="1">
      <alignment horizontal="center" vertical="center"/>
    </xf>
    <xf numFmtId="3" fontId="0" fillId="0" borderId="8" xfId="0" applyNumberFormat="1" applyBorder="1" applyAlignment="1">
      <alignment horizontal="center" vertical="center"/>
    </xf>
    <xf numFmtId="3" fontId="0" fillId="0" borderId="11" xfId="0" applyNumberFormat="1" applyBorder="1" applyAlignment="1">
      <alignment horizontal="center" vertical="center"/>
    </xf>
    <xf numFmtId="4" fontId="0" fillId="0" borderId="3" xfId="0" applyNumberFormat="1" applyBorder="1" applyAlignment="1">
      <alignment horizontal="right" vertical="center"/>
    </xf>
    <xf numFmtId="4" fontId="0" fillId="0" borderId="13" xfId="0" applyNumberFormat="1" applyBorder="1" applyAlignment="1">
      <alignment horizontal="right" vertical="center"/>
    </xf>
    <xf numFmtId="4" fontId="0" fillId="0" borderId="22" xfId="0" applyNumberFormat="1" applyBorder="1" applyAlignment="1">
      <alignment horizontal="right" vertical="center"/>
    </xf>
    <xf numFmtId="4" fontId="0" fillId="0" borderId="23" xfId="0" applyNumberFormat="1" applyBorder="1" applyAlignment="1">
      <alignment horizontal="right" vertical="center"/>
    </xf>
    <xf numFmtId="4" fontId="0" fillId="0" borderId="24" xfId="0" applyNumberFormat="1" applyBorder="1" applyAlignment="1">
      <alignment horizontal="right" vertical="center"/>
    </xf>
    <xf numFmtId="164" fontId="0" fillId="0" borderId="12" xfId="0" applyNumberFormat="1" applyBorder="1" applyAlignment="1">
      <alignment horizontal="center" vertical="center"/>
    </xf>
    <xf numFmtId="164" fontId="0" fillId="0" borderId="14" xfId="0" applyNumberFormat="1" applyBorder="1" applyAlignment="1">
      <alignment horizontal="center" vertical="center"/>
    </xf>
    <xf numFmtId="4" fontId="0" fillId="0" borderId="43" xfId="0" applyNumberFormat="1" applyBorder="1" applyAlignment="1">
      <alignment horizontal="right" vertical="center"/>
    </xf>
    <xf numFmtId="4" fontId="8" fillId="0" borderId="3" xfId="0" applyNumberFormat="1" applyFont="1" applyBorder="1" applyAlignment="1">
      <alignment horizontal="right" vertical="center"/>
    </xf>
    <xf numFmtId="4" fontId="5" fillId="0" borderId="44" xfId="0" applyNumberFormat="1" applyFont="1" applyBorder="1" applyAlignment="1">
      <alignment horizontal="right" vertical="center"/>
    </xf>
    <xf numFmtId="0" fontId="13" fillId="0" borderId="0" xfId="0" applyFont="1" applyAlignment="1">
      <alignment horizontal="left" vertical="center"/>
    </xf>
    <xf numFmtId="0" fontId="13" fillId="0" borderId="5" xfId="0" applyFont="1" applyBorder="1" applyAlignment="1">
      <alignment horizontal="left" vertical="center"/>
    </xf>
    <xf numFmtId="0" fontId="5" fillId="3" borderId="45" xfId="0" applyFont="1" applyFill="1" applyBorder="1" applyAlignment="1">
      <alignment vertical="center"/>
    </xf>
    <xf numFmtId="0" fontId="5" fillId="3" borderId="46" xfId="0" applyFont="1" applyFill="1" applyBorder="1" applyAlignment="1">
      <alignment horizontal="left" vertical="center"/>
    </xf>
    <xf numFmtId="0" fontId="5" fillId="3" borderId="47" xfId="0" applyFont="1" applyFill="1" applyBorder="1" applyAlignment="1">
      <alignment vertical="center"/>
    </xf>
    <xf numFmtId="0" fontId="8" fillId="0" borderId="5" xfId="0" applyFont="1" applyBorder="1" applyAlignment="1">
      <alignment horizontal="left" vertical="center"/>
    </xf>
    <xf numFmtId="0" fontId="5" fillId="3" borderId="9" xfId="0" applyFont="1" applyFill="1" applyBorder="1" applyAlignment="1">
      <alignment vertical="center" wrapText="1"/>
    </xf>
    <xf numFmtId="0" fontId="5" fillId="3" borderId="9" xfId="0" applyFont="1" applyFill="1" applyBorder="1" applyAlignment="1">
      <alignment vertical="center"/>
    </xf>
    <xf numFmtId="0" fontId="10" fillId="3" borderId="47" xfId="0" applyFont="1" applyFill="1" applyBorder="1" applyAlignment="1">
      <alignment vertical="center"/>
    </xf>
    <xf numFmtId="0" fontId="10" fillId="3" borderId="9" xfId="0" applyFont="1" applyFill="1" applyBorder="1" applyAlignment="1">
      <alignment vertical="center" wrapText="1"/>
    </xf>
    <xf numFmtId="0" fontId="10" fillId="3" borderId="9" xfId="0" applyFont="1" applyFill="1" applyBorder="1" applyAlignment="1">
      <alignment vertical="center"/>
    </xf>
    <xf numFmtId="0" fontId="5" fillId="0" borderId="40" xfId="0" applyFont="1" applyBorder="1" applyAlignment="1">
      <alignment horizontal="left" vertical="center"/>
    </xf>
    <xf numFmtId="0" fontId="8" fillId="0" borderId="34" xfId="0" applyFont="1" applyBorder="1" applyAlignment="1">
      <alignment horizontal="left" vertical="center"/>
    </xf>
    <xf numFmtId="0" fontId="5" fillId="0" borderId="41" xfId="0" applyFont="1" applyBorder="1" applyAlignment="1">
      <alignment horizontal="left" vertical="center"/>
    </xf>
    <xf numFmtId="0" fontId="5" fillId="0" borderId="25" xfId="0" applyFont="1" applyBorder="1" applyAlignment="1">
      <alignment horizontal="left" vertical="center"/>
    </xf>
    <xf numFmtId="0" fontId="8" fillId="0" borderId="26" xfId="0" applyFont="1" applyBorder="1" applyAlignment="1">
      <alignment horizontal="left" vertical="center"/>
    </xf>
    <xf numFmtId="0" fontId="5" fillId="0" borderId="0" xfId="0" applyFont="1" applyAlignment="1">
      <alignment horizontal="left" vertical="center"/>
    </xf>
    <xf numFmtId="3" fontId="8" fillId="0" borderId="8" xfId="0" applyNumberFormat="1" applyFont="1" applyBorder="1" applyAlignment="1">
      <alignment vertical="center" wrapText="1"/>
    </xf>
    <xf numFmtId="0" fontId="0" fillId="0" borderId="8" xfId="0" applyBorder="1" applyAlignment="1">
      <alignment vertical="center"/>
    </xf>
    <xf numFmtId="0" fontId="8" fillId="0" borderId="8" xfId="0" applyFont="1" applyBorder="1" applyAlignment="1">
      <alignment vertical="center"/>
    </xf>
    <xf numFmtId="3" fontId="8" fillId="0" borderId="3" xfId="0" applyNumberFormat="1" applyFont="1" applyBorder="1" applyAlignment="1" applyProtection="1">
      <alignment horizontal="center" vertical="distributed"/>
      <protection locked="0"/>
    </xf>
    <xf numFmtId="0" fontId="8" fillId="0" borderId="3" xfId="0" applyFont="1" applyBorder="1" applyAlignment="1">
      <alignment horizontal="center" vertical="distributed"/>
    </xf>
    <xf numFmtId="0" fontId="16" fillId="3" borderId="29" xfId="0" applyFont="1" applyFill="1" applyBorder="1" applyAlignment="1">
      <alignment vertical="center"/>
    </xf>
    <xf numFmtId="0" fontId="16" fillId="3" borderId="30" xfId="0" applyFont="1" applyFill="1" applyBorder="1" applyAlignment="1">
      <alignment vertical="center"/>
    </xf>
    <xf numFmtId="0" fontId="16" fillId="3" borderId="25" xfId="0" applyFont="1" applyFill="1" applyBorder="1" applyAlignment="1">
      <alignment vertical="center"/>
    </xf>
    <xf numFmtId="0" fontId="16" fillId="3" borderId="26" xfId="0" applyFont="1" applyFill="1" applyBorder="1" applyAlignment="1">
      <alignment vertical="center"/>
    </xf>
    <xf numFmtId="0" fontId="16" fillId="3" borderId="27" xfId="0" applyFont="1" applyFill="1" applyBorder="1" applyAlignment="1">
      <alignment vertical="center"/>
    </xf>
    <xf numFmtId="0" fontId="16" fillId="3" borderId="28" xfId="0" applyFont="1" applyFill="1" applyBorder="1" applyAlignment="1">
      <alignment vertical="center"/>
    </xf>
    <xf numFmtId="0" fontId="6" fillId="0" borderId="0" xfId="0" applyFont="1"/>
    <xf numFmtId="0" fontId="0" fillId="0" borderId="3" xfId="0" applyBorder="1" applyAlignment="1">
      <alignment horizontal="center" vertical="center"/>
    </xf>
    <xf numFmtId="0" fontId="4" fillId="0" borderId="5" xfId="0" applyFont="1" applyBorder="1" applyAlignment="1">
      <alignment horizontal="center" vertical="center"/>
    </xf>
    <xf numFmtId="164" fontId="8" fillId="0" borderId="0" xfId="0" applyNumberFormat="1" applyFont="1" applyAlignment="1">
      <alignment horizontal="center" vertical="center"/>
    </xf>
    <xf numFmtId="0" fontId="8" fillId="0" borderId="0" xfId="0" applyFont="1" applyAlignment="1">
      <alignment horizontal="left" vertical="center"/>
    </xf>
    <xf numFmtId="0" fontId="3" fillId="5" borderId="0" xfId="0" applyFont="1" applyFill="1" applyAlignment="1">
      <alignment horizontal="left" vertical="center"/>
    </xf>
    <xf numFmtId="0" fontId="3" fillId="5" borderId="0" xfId="0" applyFont="1" applyFill="1" applyAlignment="1">
      <alignment vertical="center"/>
    </xf>
    <xf numFmtId="0" fontId="3" fillId="5" borderId="0" xfId="0" applyFont="1" applyFill="1" applyAlignment="1">
      <alignment horizontal="right" vertical="center"/>
    </xf>
    <xf numFmtId="0" fontId="0" fillId="0" borderId="9" xfId="0" applyBorder="1" applyAlignment="1">
      <alignment horizontal="center" vertical="center"/>
    </xf>
    <xf numFmtId="0" fontId="8" fillId="0" borderId="3" xfId="0" applyFont="1" applyBorder="1" applyAlignment="1">
      <alignment horizontal="center" vertical="center"/>
    </xf>
    <xf numFmtId="0" fontId="12" fillId="5" borderId="0" xfId="0" applyFont="1" applyFill="1" applyAlignment="1">
      <alignment horizontal="center" vertical="center"/>
    </xf>
    <xf numFmtId="0" fontId="8" fillId="0" borderId="31" xfId="0" applyFont="1" applyBorder="1" applyAlignment="1">
      <alignment horizontal="left" vertical="center"/>
    </xf>
    <xf numFmtId="0" fontId="8" fillId="0" borderId="8" xfId="0" applyFont="1" applyBorder="1" applyAlignment="1">
      <alignment horizontal="left" vertical="center"/>
    </xf>
    <xf numFmtId="0" fontId="5" fillId="0" borderId="6" xfId="0" applyFont="1" applyBorder="1" applyAlignment="1">
      <alignment vertical="center"/>
    </xf>
    <xf numFmtId="0" fontId="15" fillId="0" borderId="8" xfId="1" applyBorder="1" applyAlignment="1">
      <alignment horizontal="left" vertical="center"/>
    </xf>
    <xf numFmtId="49" fontId="8" fillId="0" borderId="8" xfId="0" applyNumberFormat="1" applyFont="1" applyBorder="1" applyAlignment="1">
      <alignment horizontal="left" vertical="center"/>
    </xf>
    <xf numFmtId="0" fontId="18" fillId="5" borderId="0" xfId="0" applyFont="1" applyFill="1" applyAlignment="1">
      <alignment horizontal="center" vertical="center"/>
    </xf>
    <xf numFmtId="0" fontId="3" fillId="4" borderId="0" xfId="0" applyFont="1" applyFill="1" applyAlignment="1">
      <alignment horizontal="left" vertical="center"/>
    </xf>
    <xf numFmtId="165" fontId="0" fillId="0" borderId="3" xfId="3" applyNumberFormat="1" applyFont="1" applyBorder="1" applyAlignment="1">
      <alignment horizontal="right" vertical="center"/>
    </xf>
    <xf numFmtId="165" fontId="0" fillId="0" borderId="0" xfId="3" applyNumberFormat="1" applyFont="1" applyBorder="1" applyAlignment="1">
      <alignment horizontal="right" vertical="center"/>
    </xf>
    <xf numFmtId="0" fontId="11" fillId="0" borderId="0" xfId="0" applyFont="1" applyAlignment="1">
      <alignment horizontal="left" vertical="center" indent="1"/>
    </xf>
    <xf numFmtId="0" fontId="0" fillId="0" borderId="0" xfId="0" applyAlignment="1">
      <alignment horizontal="left" vertical="center" indent="1"/>
    </xf>
    <xf numFmtId="0" fontId="20" fillId="5" borderId="0" xfId="0" applyFont="1" applyFill="1" applyAlignment="1">
      <alignment vertical="center"/>
    </xf>
    <xf numFmtId="0" fontId="13" fillId="5" borderId="0" xfId="0" applyFont="1" applyFill="1" applyAlignment="1">
      <alignment vertical="center"/>
    </xf>
    <xf numFmtId="0" fontId="23" fillId="6" borderId="18" xfId="0" applyFont="1" applyFill="1" applyBorder="1" applyAlignment="1">
      <alignment horizontal="center" vertical="center" wrapText="1"/>
    </xf>
    <xf numFmtId="14" fontId="6" fillId="0" borderId="8" xfId="0" applyNumberFormat="1" applyFont="1" applyBorder="1" applyAlignment="1">
      <alignment horizontal="center" vertical="center"/>
    </xf>
    <xf numFmtId="0" fontId="5" fillId="3" borderId="63" xfId="0" applyFont="1" applyFill="1" applyBorder="1" applyAlignment="1">
      <alignment vertical="center" wrapText="1"/>
    </xf>
    <xf numFmtId="0" fontId="5" fillId="3" borderId="60" xfId="0" applyFont="1" applyFill="1" applyBorder="1" applyAlignment="1">
      <alignment vertical="center"/>
    </xf>
    <xf numFmtId="0" fontId="16" fillId="0" borderId="0" xfId="0" applyFont="1" applyAlignment="1">
      <alignment horizontal="center" vertical="center" wrapText="1"/>
    </xf>
    <xf numFmtId="0" fontId="24" fillId="0" borderId="0" xfId="0" applyFont="1" applyAlignment="1">
      <alignment horizontal="center" vertical="center"/>
    </xf>
    <xf numFmtId="0" fontId="5" fillId="3" borderId="53" xfId="0" applyFont="1" applyFill="1" applyBorder="1" applyAlignment="1">
      <alignment vertical="center"/>
    </xf>
    <xf numFmtId="0" fontId="5" fillId="3" borderId="31" xfId="0" applyFont="1" applyFill="1" applyBorder="1" applyAlignment="1">
      <alignment vertical="center"/>
    </xf>
    <xf numFmtId="0" fontId="5" fillId="3" borderId="50" xfId="0" applyFont="1" applyFill="1" applyBorder="1" applyAlignment="1">
      <alignment vertical="center"/>
    </xf>
    <xf numFmtId="0" fontId="5" fillId="3" borderId="3" xfId="0" applyFont="1" applyFill="1" applyBorder="1" applyAlignment="1">
      <alignment vertical="center"/>
    </xf>
    <xf numFmtId="0" fontId="5" fillId="3" borderId="8" xfId="0" applyFont="1" applyFill="1" applyBorder="1" applyAlignment="1">
      <alignment vertical="center"/>
    </xf>
    <xf numFmtId="0" fontId="8" fillId="0" borderId="62" xfId="0" applyFont="1" applyBorder="1" applyAlignment="1">
      <alignment horizontal="left" vertical="center"/>
    </xf>
    <xf numFmtId="0" fontId="5" fillId="3" borderId="60" xfId="0" applyFont="1" applyFill="1" applyBorder="1" applyAlignment="1">
      <alignment horizontal="left" vertical="center" indent="1"/>
    </xf>
    <xf numFmtId="0" fontId="22" fillId="5" borderId="0" xfId="0" applyFont="1" applyFill="1" applyAlignment="1">
      <alignment horizontal="left" vertical="center" indent="1"/>
    </xf>
    <xf numFmtId="0" fontId="20" fillId="5" borderId="0" xfId="0" applyFont="1" applyFill="1" applyAlignment="1">
      <alignment horizontal="left" vertical="center" indent="1"/>
    </xf>
    <xf numFmtId="0" fontId="5" fillId="3" borderId="0" xfId="0" applyFont="1" applyFill="1" applyAlignment="1">
      <alignment horizontal="left" vertical="center" wrapText="1" indent="1"/>
    </xf>
    <xf numFmtId="0" fontId="5" fillId="4" borderId="60" xfId="0" applyFont="1" applyFill="1" applyBorder="1" applyAlignment="1">
      <alignment vertical="center"/>
    </xf>
    <xf numFmtId="0" fontId="5" fillId="4" borderId="57" xfId="0" applyFont="1" applyFill="1" applyBorder="1" applyAlignment="1">
      <alignment vertical="center"/>
    </xf>
    <xf numFmtId="0" fontId="23" fillId="6" borderId="40" xfId="0" applyFont="1" applyFill="1" applyBorder="1" applyAlignment="1">
      <alignment vertical="center"/>
    </xf>
    <xf numFmtId="0" fontId="23" fillId="6" borderId="0" xfId="0" applyFont="1" applyFill="1" applyAlignment="1">
      <alignment vertical="center"/>
    </xf>
    <xf numFmtId="0" fontId="4" fillId="0" borderId="63" xfId="0" applyFont="1" applyBorder="1" applyAlignment="1">
      <alignment horizontal="center" vertical="center"/>
    </xf>
    <xf numFmtId="0" fontId="0" fillId="0" borderId="58" xfId="0" applyBorder="1" applyAlignment="1">
      <alignment horizontal="left" vertical="center" indent="8"/>
    </xf>
    <xf numFmtId="14" fontId="6" fillId="0" borderId="31" xfId="0" applyNumberFormat="1" applyFont="1" applyBorder="1" applyAlignment="1">
      <alignment vertical="center"/>
    </xf>
    <xf numFmtId="0" fontId="5" fillId="3" borderId="62" xfId="0" applyFont="1" applyFill="1" applyBorder="1" applyAlignment="1">
      <alignment vertical="center" wrapText="1"/>
    </xf>
    <xf numFmtId="0" fontId="5" fillId="3" borderId="62" xfId="0" applyFont="1" applyFill="1" applyBorder="1" applyAlignment="1">
      <alignment vertical="center"/>
    </xf>
    <xf numFmtId="0" fontId="5" fillId="3" borderId="63" xfId="0" applyFont="1" applyFill="1" applyBorder="1" applyAlignment="1">
      <alignment vertical="center"/>
    </xf>
    <xf numFmtId="0" fontId="5" fillId="3" borderId="60" xfId="0" applyFont="1" applyFill="1" applyBorder="1" applyAlignment="1">
      <alignment vertical="center" wrapText="1"/>
    </xf>
    <xf numFmtId="0" fontId="5" fillId="3" borderId="52" xfId="0" applyFont="1" applyFill="1" applyBorder="1" applyAlignment="1">
      <alignment horizontal="left" vertical="center" indent="1"/>
    </xf>
    <xf numFmtId="0" fontId="5" fillId="3" borderId="54" xfId="0" applyFont="1" applyFill="1" applyBorder="1" applyAlignment="1">
      <alignment horizontal="left" vertical="center" indent="1"/>
    </xf>
    <xf numFmtId="0" fontId="5" fillId="3" borderId="55" xfId="0" applyFont="1" applyFill="1" applyBorder="1" applyAlignment="1">
      <alignment horizontal="left" vertical="center" indent="1"/>
    </xf>
    <xf numFmtId="14" fontId="6" fillId="0" borderId="26" xfId="0" applyNumberFormat="1" applyFont="1" applyBorder="1" applyAlignment="1">
      <alignment vertical="center"/>
    </xf>
    <xf numFmtId="14" fontId="6" fillId="0" borderId="8" xfId="0" applyNumberFormat="1" applyFont="1" applyBorder="1" applyAlignment="1">
      <alignment horizontal="left" vertical="center" indent="2"/>
    </xf>
    <xf numFmtId="0" fontId="5" fillId="0" borderId="57" xfId="0" applyFont="1" applyBorder="1" applyAlignment="1">
      <alignment horizontal="left" vertical="center" indent="1"/>
    </xf>
    <xf numFmtId="0" fontId="5" fillId="0" borderId="58" xfId="0" applyFont="1" applyBorder="1" applyAlignment="1">
      <alignment horizontal="left" vertical="center" indent="1"/>
    </xf>
    <xf numFmtId="0" fontId="5" fillId="0" borderId="67" xfId="0" applyFont="1" applyBorder="1" applyAlignment="1">
      <alignment horizontal="left" vertical="center" indent="1"/>
    </xf>
    <xf numFmtId="0" fontId="5" fillId="0" borderId="65" xfId="0" applyFont="1" applyBorder="1" applyAlignment="1">
      <alignment horizontal="left" vertical="center" indent="1"/>
    </xf>
    <xf numFmtId="165" fontId="0" fillId="0" borderId="3" xfId="3" applyNumberFormat="1" applyFont="1" applyBorder="1" applyAlignment="1">
      <alignment horizontal="center" vertical="center"/>
    </xf>
    <xf numFmtId="0" fontId="8" fillId="0" borderId="36" xfId="0" applyFont="1" applyBorder="1" applyAlignment="1">
      <alignment horizontal="left" vertical="center" indent="1"/>
    </xf>
    <xf numFmtId="0" fontId="8" fillId="0" borderId="68" xfId="0" applyFont="1" applyBorder="1" applyAlignment="1">
      <alignment horizontal="center" vertical="center"/>
    </xf>
    <xf numFmtId="4" fontId="5" fillId="0" borderId="68" xfId="0" applyNumberFormat="1" applyFont="1" applyBorder="1" applyAlignment="1">
      <alignment horizontal="right" vertical="center"/>
    </xf>
    <xf numFmtId="165" fontId="0" fillId="0" borderId="68" xfId="3" applyNumberFormat="1" applyFont="1" applyBorder="1" applyAlignment="1">
      <alignment horizontal="right" vertical="center"/>
    </xf>
    <xf numFmtId="0" fontId="17" fillId="0" borderId="60" xfId="0" applyFont="1" applyBorder="1" applyAlignment="1">
      <alignment horizontal="left" indent="1"/>
    </xf>
    <xf numFmtId="0" fontId="17" fillId="0" borderId="62" xfId="0" applyFont="1" applyBorder="1" applyAlignment="1">
      <alignment horizontal="left" indent="1"/>
    </xf>
    <xf numFmtId="0" fontId="17" fillId="0" borderId="63" xfId="0" applyFont="1" applyBorder="1" applyAlignment="1">
      <alignment horizontal="left" indent="1"/>
    </xf>
    <xf numFmtId="0" fontId="8" fillId="0" borderId="60" xfId="0" applyFont="1" applyBorder="1" applyAlignment="1">
      <alignment horizontal="left" vertical="center" indent="1"/>
    </xf>
    <xf numFmtId="0" fontId="8" fillId="0" borderId="62" xfId="0" applyFont="1" applyBorder="1" applyAlignment="1">
      <alignment horizontal="left" vertical="center" indent="1"/>
    </xf>
    <xf numFmtId="0" fontId="8" fillId="0" borderId="63" xfId="0" applyFont="1" applyBorder="1" applyAlignment="1">
      <alignment horizontal="left" vertical="center" indent="1"/>
    </xf>
    <xf numFmtId="0" fontId="22" fillId="5" borderId="0" xfId="0" applyFont="1" applyFill="1"/>
    <xf numFmtId="0" fontId="2" fillId="0" borderId="0" xfId="8" applyFont="1" applyAlignment="1">
      <alignment vertical="center"/>
    </xf>
    <xf numFmtId="0" fontId="2" fillId="0" borderId="0" xfId="8" applyFont="1" applyAlignment="1">
      <alignment horizontal="center" vertical="center"/>
    </xf>
    <xf numFmtId="0" fontId="2" fillId="7" borderId="0" xfId="8" applyFont="1" applyFill="1" applyAlignment="1">
      <alignment vertical="center"/>
    </xf>
    <xf numFmtId="0" fontId="2" fillId="7" borderId="0" xfId="8" applyFont="1" applyFill="1" applyAlignment="1">
      <alignment horizontal="left" vertical="center" indent="24"/>
    </xf>
    <xf numFmtId="0" fontId="30" fillId="7" borderId="71" xfId="8" applyFont="1" applyFill="1" applyBorder="1" applyAlignment="1">
      <alignment horizontal="center" vertical="center" wrapText="1"/>
    </xf>
    <xf numFmtId="0" fontId="33" fillId="9" borderId="71" xfId="8" applyFont="1" applyFill="1" applyBorder="1" applyAlignment="1">
      <alignment horizontal="center" vertical="center"/>
    </xf>
    <xf numFmtId="14" fontId="33" fillId="9" borderId="71" xfId="8" applyNumberFormat="1" applyFont="1" applyFill="1" applyBorder="1" applyAlignment="1">
      <alignment horizontal="center" vertical="center"/>
    </xf>
    <xf numFmtId="3" fontId="33" fillId="9" borderId="71" xfId="8" applyNumberFormat="1" applyFont="1" applyFill="1" applyBorder="1" applyAlignment="1">
      <alignment horizontal="right" vertical="center"/>
    </xf>
    <xf numFmtId="0" fontId="33" fillId="10" borderId="71" xfId="8" applyFont="1" applyFill="1" applyBorder="1" applyAlignment="1">
      <alignment horizontal="center" vertical="center"/>
    </xf>
    <xf numFmtId="14" fontId="33" fillId="10" borderId="71" xfId="8" applyNumberFormat="1" applyFont="1" applyFill="1" applyBorder="1" applyAlignment="1">
      <alignment horizontal="center" vertical="center"/>
    </xf>
    <xf numFmtId="3" fontId="33" fillId="10" borderId="71" xfId="8" applyNumberFormat="1" applyFont="1" applyFill="1" applyBorder="1" applyAlignment="1">
      <alignment horizontal="right" vertical="center"/>
    </xf>
    <xf numFmtId="0" fontId="34" fillId="0" borderId="75" xfId="8" applyFont="1" applyBorder="1" applyAlignment="1">
      <alignment vertical="center"/>
    </xf>
    <xf numFmtId="0" fontId="35" fillId="5" borderId="0" xfId="0" applyFont="1" applyFill="1" applyAlignment="1">
      <alignment vertical="center"/>
    </xf>
    <xf numFmtId="0" fontId="36" fillId="0" borderId="0" xfId="0" applyFont="1" applyAlignment="1">
      <alignment horizontal="center" vertical="center"/>
    </xf>
    <xf numFmtId="0" fontId="37" fillId="4" borderId="0" xfId="0" applyFont="1" applyFill="1" applyAlignment="1">
      <alignment horizontal="left" vertical="center"/>
    </xf>
    <xf numFmtId="0" fontId="37" fillId="5" borderId="0" xfId="0" applyFont="1" applyFill="1" applyAlignment="1">
      <alignment horizontal="left" vertical="center"/>
    </xf>
    <xf numFmtId="0" fontId="38" fillId="5" borderId="0" xfId="0" applyFont="1" applyFill="1" applyAlignment="1">
      <alignment vertical="center"/>
    </xf>
    <xf numFmtId="0" fontId="38" fillId="5" borderId="0" xfId="0" applyFont="1" applyFill="1" applyAlignment="1">
      <alignment horizontal="left" vertical="center"/>
    </xf>
    <xf numFmtId="0" fontId="39" fillId="5" borderId="0" xfId="0" applyFont="1" applyFill="1" applyAlignment="1">
      <alignment horizontal="center" vertical="center"/>
    </xf>
    <xf numFmtId="0" fontId="37" fillId="5" borderId="0" xfId="0" applyFont="1" applyFill="1" applyAlignment="1">
      <alignment vertical="center"/>
    </xf>
    <xf numFmtId="0" fontId="37" fillId="5" borderId="0" xfId="0" applyFont="1" applyFill="1" applyAlignment="1">
      <alignment horizontal="right" vertical="center"/>
    </xf>
    <xf numFmtId="0" fontId="39" fillId="0" borderId="0" xfId="0" applyFont="1" applyAlignment="1">
      <alignment horizontal="center" vertical="center"/>
    </xf>
    <xf numFmtId="0" fontId="35" fillId="5" borderId="0" xfId="0" applyFont="1" applyFill="1" applyAlignment="1">
      <alignment horizontal="left" vertical="center"/>
    </xf>
    <xf numFmtId="0" fontId="40" fillId="5" borderId="0" xfId="0" applyFont="1" applyFill="1" applyAlignment="1">
      <alignment vertical="center"/>
    </xf>
    <xf numFmtId="0" fontId="41" fillId="5" borderId="0" xfId="0" applyFont="1" applyFill="1" applyAlignment="1">
      <alignment horizontal="center" vertical="center"/>
    </xf>
    <xf numFmtId="0" fontId="37" fillId="0" borderId="0" xfId="0" applyFont="1" applyAlignment="1">
      <alignment horizontal="left" vertical="center"/>
    </xf>
    <xf numFmtId="0" fontId="37" fillId="0" borderId="0" xfId="0" applyFont="1" applyAlignment="1">
      <alignment horizontal="right" vertical="center"/>
    </xf>
    <xf numFmtId="0" fontId="43" fillId="0" borderId="0" xfId="0" applyFont="1" applyAlignment="1">
      <alignment horizontal="center" vertical="center" wrapText="1"/>
    </xf>
    <xf numFmtId="0" fontId="45" fillId="0" borderId="0" xfId="0" applyFont="1" applyAlignment="1">
      <alignment horizontal="center" vertical="center"/>
    </xf>
    <xf numFmtId="0" fontId="44" fillId="0" borderId="0" xfId="0" applyFont="1" applyAlignment="1">
      <alignment horizontal="center" vertical="center"/>
    </xf>
    <xf numFmtId="0" fontId="36" fillId="0" borderId="0" xfId="0" applyFont="1" applyAlignment="1">
      <alignment vertical="center"/>
    </xf>
    <xf numFmtId="0" fontId="46" fillId="0" borderId="0" xfId="0" applyFont="1" applyAlignment="1">
      <alignment horizontal="center" vertical="center"/>
    </xf>
    <xf numFmtId="0" fontId="35" fillId="4" borderId="0" xfId="0" applyFont="1" applyFill="1" applyAlignment="1">
      <alignment vertical="center"/>
    </xf>
    <xf numFmtId="0" fontId="47" fillId="3" borderId="3" xfId="0" applyFont="1" applyFill="1" applyBorder="1" applyAlignment="1">
      <alignment horizontal="left" vertical="center" indent="1"/>
    </xf>
    <xf numFmtId="0" fontId="47" fillId="3" borderId="8" xfId="0" applyFont="1" applyFill="1" applyBorder="1" applyAlignment="1">
      <alignment vertical="center"/>
    </xf>
    <xf numFmtId="14" fontId="47" fillId="0" borderId="8" xfId="0" applyNumberFormat="1" applyFont="1" applyBorder="1" applyAlignment="1">
      <alignment horizontal="left" vertical="center" indent="1"/>
    </xf>
    <xf numFmtId="14" fontId="47" fillId="0" borderId="31" xfId="0" applyNumberFormat="1" applyFont="1" applyBorder="1" applyAlignment="1">
      <alignment vertical="center"/>
    </xf>
    <xf numFmtId="0" fontId="47" fillId="3" borderId="31" xfId="0" applyFont="1" applyFill="1" applyBorder="1" applyAlignment="1">
      <alignment horizontal="left" vertical="center" indent="1"/>
    </xf>
    <xf numFmtId="0" fontId="47" fillId="3" borderId="31" xfId="0" applyFont="1" applyFill="1" applyBorder="1" applyAlignment="1">
      <alignment vertical="center"/>
    </xf>
    <xf numFmtId="0" fontId="47" fillId="0" borderId="0" xfId="0" applyFont="1" applyAlignment="1">
      <alignment vertical="center"/>
    </xf>
    <xf numFmtId="164" fontId="40" fillId="0" borderId="0" xfId="0" applyNumberFormat="1" applyFont="1" applyAlignment="1">
      <alignment horizontal="center" vertical="center"/>
    </xf>
    <xf numFmtId="0" fontId="47" fillId="0" borderId="57" xfId="0" applyFont="1" applyBorder="1" applyAlignment="1">
      <alignment vertical="center"/>
    </xf>
    <xf numFmtId="0" fontId="47" fillId="0" borderId="58" xfId="0" applyFont="1" applyBorder="1" applyAlignment="1">
      <alignment horizontal="left" vertical="center"/>
    </xf>
    <xf numFmtId="0" fontId="47" fillId="0" borderId="58" xfId="0" applyFont="1" applyBorder="1" applyAlignment="1">
      <alignment vertical="center"/>
    </xf>
    <xf numFmtId="0" fontId="47" fillId="0" borderId="33" xfId="0" applyFont="1" applyBorder="1"/>
    <xf numFmtId="0" fontId="47" fillId="0" borderId="34" xfId="0" applyFont="1" applyBorder="1" applyAlignment="1">
      <alignment wrapText="1"/>
    </xf>
    <xf numFmtId="0" fontId="47" fillId="0" borderId="34" xfId="0" applyFont="1" applyBorder="1" applyAlignment="1">
      <alignment vertical="center" wrapText="1"/>
    </xf>
    <xf numFmtId="0" fontId="47" fillId="0" borderId="69" xfId="0" applyFont="1" applyBorder="1" applyAlignment="1">
      <alignment vertical="center" wrapText="1"/>
    </xf>
    <xf numFmtId="0" fontId="47" fillId="0" borderId="67" xfId="0" applyFont="1" applyBorder="1" applyAlignment="1">
      <alignment vertical="center"/>
    </xf>
    <xf numFmtId="0" fontId="47" fillId="0" borderId="65" xfId="0" applyFont="1" applyBorder="1" applyAlignment="1">
      <alignment horizontal="left" vertical="center"/>
    </xf>
    <xf numFmtId="0" fontId="47" fillId="0" borderId="65" xfId="0" applyFont="1" applyBorder="1" applyAlignment="1">
      <alignment vertical="center"/>
    </xf>
    <xf numFmtId="0" fontId="47" fillId="0" borderId="64" xfId="0" applyFont="1" applyBorder="1" applyAlignment="1">
      <alignment horizontal="left" vertical="center"/>
    </xf>
    <xf numFmtId="0" fontId="47" fillId="0" borderId="68" xfId="0" applyFont="1" applyBorder="1" applyAlignment="1">
      <alignment horizontal="left" vertical="center"/>
    </xf>
    <xf numFmtId="0" fontId="47" fillId="0" borderId="30" xfId="0" applyFont="1" applyBorder="1" applyAlignment="1">
      <alignment horizontal="left" vertical="center"/>
    </xf>
    <xf numFmtId="0" fontId="47" fillId="3" borderId="60" xfId="0" applyFont="1" applyFill="1" applyBorder="1" applyAlignment="1">
      <alignment horizontal="left" vertical="center" indent="1"/>
    </xf>
    <xf numFmtId="0" fontId="47" fillId="3" borderId="62" xfId="0" applyFont="1" applyFill="1" applyBorder="1" applyAlignment="1">
      <alignment vertical="center"/>
    </xf>
    <xf numFmtId="0" fontId="47" fillId="3" borderId="63" xfId="0" applyFont="1" applyFill="1" applyBorder="1" applyAlignment="1">
      <alignment vertical="center"/>
    </xf>
    <xf numFmtId="0" fontId="40" fillId="0" borderId="60" xfId="0" applyFont="1" applyBorder="1" applyAlignment="1">
      <alignment horizontal="left" vertical="center"/>
    </xf>
    <xf numFmtId="0" fontId="40" fillId="0" borderId="62" xfId="0" applyFont="1" applyBorder="1" applyAlignment="1">
      <alignment horizontal="left" vertical="center"/>
    </xf>
    <xf numFmtId="0" fontId="40" fillId="0" borderId="67" xfId="0" applyFont="1" applyBorder="1" applyAlignment="1">
      <alignment horizontal="left" vertical="center"/>
    </xf>
    <xf numFmtId="0" fontId="40" fillId="0" borderId="65" xfId="0" applyFont="1" applyBorder="1" applyAlignment="1">
      <alignment horizontal="left" vertical="center"/>
    </xf>
    <xf numFmtId="0" fontId="47" fillId="0" borderId="0" xfId="0" applyFont="1" applyAlignment="1">
      <alignment horizontal="left" vertical="center" indent="1"/>
    </xf>
    <xf numFmtId="0" fontId="40" fillId="0" borderId="0" xfId="0" applyFont="1" applyAlignment="1">
      <alignment vertical="center"/>
    </xf>
    <xf numFmtId="0" fontId="47" fillId="0" borderId="0" xfId="0" applyFont="1" applyAlignment="1">
      <alignment horizontal="center" vertical="center"/>
    </xf>
    <xf numFmtId="0" fontId="40" fillId="0" borderId="0" xfId="0" applyFont="1" applyAlignment="1">
      <alignment horizontal="center" vertical="center"/>
    </xf>
    <xf numFmtId="0" fontId="40" fillId="0" borderId="8" xfId="0" applyFont="1" applyBorder="1" applyAlignment="1">
      <alignment horizontal="left" vertical="center"/>
    </xf>
    <xf numFmtId="0" fontId="40" fillId="0" borderId="31" xfId="0" applyFont="1" applyBorder="1" applyAlignment="1">
      <alignment horizontal="left" vertical="center"/>
    </xf>
    <xf numFmtId="0" fontId="40" fillId="0" borderId="26" xfId="0" applyFont="1" applyBorder="1" applyAlignment="1">
      <alignment horizontal="left" vertical="center"/>
    </xf>
    <xf numFmtId="0" fontId="40" fillId="0" borderId="8" xfId="0" applyFont="1" applyBorder="1" applyAlignment="1">
      <alignment horizontal="left" vertical="center" indent="1"/>
    </xf>
    <xf numFmtId="0" fontId="40" fillId="0" borderId="0" xfId="0" applyFont="1" applyAlignment="1">
      <alignment horizontal="left" vertical="center"/>
    </xf>
    <xf numFmtId="0" fontId="47" fillId="3" borderId="3" xfId="0" applyFont="1" applyFill="1" applyBorder="1" applyAlignment="1">
      <alignment horizontal="center" vertical="center" wrapText="1"/>
    </xf>
    <xf numFmtId="0" fontId="47" fillId="3" borderId="33" xfId="0" applyFont="1" applyFill="1" applyBorder="1" applyAlignment="1">
      <alignment horizontal="centerContinuous" vertical="center" wrapText="1"/>
    </xf>
    <xf numFmtId="0" fontId="47" fillId="3" borderId="69" xfId="0" applyFont="1" applyFill="1" applyBorder="1" applyAlignment="1">
      <alignment horizontal="centerContinuous" vertical="center" wrapText="1"/>
    </xf>
    <xf numFmtId="0" fontId="47" fillId="3" borderId="8" xfId="0" applyFont="1" applyFill="1" applyBorder="1" applyAlignment="1">
      <alignment horizontal="center" vertical="center" wrapText="1"/>
    </xf>
    <xf numFmtId="0" fontId="40" fillId="0" borderId="8" xfId="0" applyFont="1" applyBorder="1" applyAlignment="1">
      <alignment horizontal="center" vertical="center"/>
    </xf>
    <xf numFmtId="0" fontId="40" fillId="0" borderId="26" xfId="0" applyFont="1" applyBorder="1" applyAlignment="1">
      <alignment horizontal="centerContinuous" vertical="center"/>
    </xf>
    <xf numFmtId="0" fontId="40" fillId="0" borderId="26" xfId="0" applyFont="1" applyBorder="1" applyAlignment="1">
      <alignment horizontal="center" vertical="center"/>
    </xf>
    <xf numFmtId="165" fontId="40" fillId="0" borderId="3" xfId="3" applyNumberFormat="1" applyFont="1" applyBorder="1" applyAlignment="1">
      <alignment horizontal="center" vertical="center"/>
    </xf>
    <xf numFmtId="165" fontId="40" fillId="0" borderId="3" xfId="3" applyNumberFormat="1" applyFont="1" applyBorder="1" applyAlignment="1">
      <alignment horizontal="right" vertical="center"/>
    </xf>
    <xf numFmtId="0" fontId="40" fillId="0" borderId="3" xfId="0" applyFont="1" applyBorder="1" applyAlignment="1">
      <alignment horizontal="center" vertical="center"/>
    </xf>
    <xf numFmtId="165" fontId="40" fillId="0" borderId="0" xfId="3" applyNumberFormat="1" applyFont="1" applyBorder="1" applyAlignment="1">
      <alignment horizontal="center" vertical="center"/>
    </xf>
    <xf numFmtId="165" fontId="40" fillId="0" borderId="0" xfId="3" applyNumberFormat="1" applyFont="1" applyBorder="1" applyAlignment="1">
      <alignment horizontal="right" vertical="center"/>
    </xf>
    <xf numFmtId="0" fontId="47" fillId="3" borderId="0" xfId="0" applyFont="1" applyFill="1" applyAlignment="1">
      <alignment horizontal="left" vertical="center" wrapText="1" indent="1"/>
    </xf>
    <xf numFmtId="0" fontId="47" fillId="3" borderId="0" xfId="0" applyFont="1" applyFill="1" applyAlignment="1">
      <alignment horizontal="left" vertical="center" wrapText="1"/>
    </xf>
    <xf numFmtId="4" fontId="47" fillId="0" borderId="68" xfId="0" applyNumberFormat="1" applyFont="1" applyBorder="1" applyAlignment="1">
      <alignment horizontal="right" vertical="center"/>
    </xf>
    <xf numFmtId="165" fontId="40" fillId="0" borderId="68" xfId="3" applyNumberFormat="1" applyFont="1" applyBorder="1" applyAlignment="1">
      <alignment horizontal="right" vertical="center"/>
    </xf>
    <xf numFmtId="13" fontId="40" fillId="0" borderId="0" xfId="0" applyNumberFormat="1" applyFont="1" applyAlignment="1">
      <alignment horizontal="left" vertical="center" indent="1"/>
    </xf>
    <xf numFmtId="0" fontId="48" fillId="6" borderId="40" xfId="0" applyFont="1" applyFill="1" applyBorder="1" applyAlignment="1">
      <alignment horizontal="left" vertical="center" indent="1"/>
    </xf>
    <xf numFmtId="0" fontId="48" fillId="6" borderId="0" xfId="0" applyFont="1" applyFill="1" applyAlignment="1">
      <alignment horizontal="left" vertical="center" indent="1"/>
    </xf>
    <xf numFmtId="0" fontId="48" fillId="6" borderId="0" xfId="0" applyFont="1" applyFill="1" applyAlignment="1">
      <alignment vertical="center"/>
    </xf>
    <xf numFmtId="0" fontId="48" fillId="6" borderId="0" xfId="0" applyFont="1" applyFill="1" applyAlignment="1">
      <alignment horizontal="left" vertical="center"/>
    </xf>
    <xf numFmtId="0" fontId="40" fillId="0" borderId="4" xfId="0" applyFont="1" applyBorder="1" applyAlignment="1">
      <alignment horizontal="center" vertical="center"/>
    </xf>
    <xf numFmtId="0" fontId="33" fillId="9" borderId="71" xfId="8" applyFont="1" applyFill="1" applyBorder="1" applyAlignment="1">
      <alignment vertical="center" wrapText="1"/>
    </xf>
    <xf numFmtId="0" fontId="33" fillId="10" borderId="71" xfId="8" applyFont="1" applyFill="1" applyBorder="1" applyAlignment="1">
      <alignment vertical="center" wrapText="1"/>
    </xf>
    <xf numFmtId="0" fontId="27" fillId="4" borderId="0" xfId="8" applyFont="1" applyFill="1" applyAlignment="1">
      <alignment horizontal="left" vertical="center" indent="4"/>
    </xf>
    <xf numFmtId="0" fontId="2" fillId="4" borderId="0" xfId="8" applyFont="1" applyFill="1" applyAlignment="1">
      <alignment vertical="center"/>
    </xf>
    <xf numFmtId="0" fontId="28" fillId="4" borderId="0" xfId="8" applyFont="1" applyFill="1" applyAlignment="1">
      <alignment horizontal="left" vertical="center" indent="14"/>
    </xf>
    <xf numFmtId="0" fontId="2" fillId="4" borderId="0" xfId="8" applyFont="1" applyFill="1" applyAlignment="1">
      <alignment horizontal="center" vertical="center"/>
    </xf>
    <xf numFmtId="0" fontId="29" fillId="4" borderId="0" xfId="8" applyFont="1" applyFill="1" applyAlignment="1">
      <alignment horizontal="left" vertical="center"/>
    </xf>
    <xf numFmtId="0" fontId="29" fillId="4" borderId="0" xfId="8" applyFont="1" applyFill="1" applyAlignment="1">
      <alignment vertical="center"/>
    </xf>
    <xf numFmtId="0" fontId="31" fillId="4" borderId="0" xfId="8" applyFont="1" applyFill="1" applyAlignment="1">
      <alignment horizontal="left" vertical="center" indent="21"/>
    </xf>
    <xf numFmtId="0" fontId="32" fillId="4" borderId="0" xfId="8" applyFont="1" applyFill="1" applyAlignment="1">
      <alignment vertical="center"/>
    </xf>
    <xf numFmtId="0" fontId="2" fillId="4" borderId="0" xfId="8" applyFont="1" applyFill="1" applyAlignment="1">
      <alignment horizontal="left" vertical="center" indent="24"/>
    </xf>
    <xf numFmtId="0" fontId="30" fillId="4" borderId="0" xfId="8" applyFont="1" applyFill="1" applyAlignment="1">
      <alignment horizontal="left" vertical="top" indent="6"/>
    </xf>
    <xf numFmtId="0" fontId="30" fillId="4" borderId="0" xfId="8" applyFont="1" applyFill="1" applyAlignment="1">
      <alignment horizontal="left" indent="6"/>
    </xf>
    <xf numFmtId="0" fontId="32" fillId="4" borderId="0" xfId="8" applyFont="1" applyFill="1" applyAlignment="1">
      <alignment horizontal="left" vertical="center" indent="1"/>
    </xf>
    <xf numFmtId="0" fontId="51" fillId="6" borderId="0" xfId="8" applyFont="1" applyFill="1" applyAlignment="1">
      <alignment vertical="center"/>
    </xf>
    <xf numFmtId="49" fontId="1" fillId="0" borderId="0" xfId="8" applyNumberFormat="1" applyFont="1" applyAlignment="1">
      <alignment vertical="center"/>
    </xf>
    <xf numFmtId="14" fontId="2" fillId="4" borderId="0" xfId="8" applyNumberFormat="1" applyFont="1" applyFill="1" applyAlignment="1">
      <alignment horizontal="left" vertical="top" indent="6"/>
    </xf>
    <xf numFmtId="0" fontId="15" fillId="9" borderId="71" xfId="1" applyFill="1" applyBorder="1" applyAlignment="1">
      <alignment vertical="center" wrapText="1"/>
    </xf>
    <xf numFmtId="0" fontId="2" fillId="0" borderId="0" xfId="8" applyFont="1" applyAlignment="1">
      <alignment vertical="center" wrapText="1"/>
    </xf>
    <xf numFmtId="0" fontId="50" fillId="0" borderId="75" xfId="8" applyFont="1" applyBorder="1" applyAlignment="1">
      <alignment horizontal="left" vertical="center" indent="6"/>
    </xf>
    <xf numFmtId="0" fontId="40" fillId="4" borderId="0" xfId="8" applyFont="1" applyFill="1" applyAlignment="1">
      <alignment horizontal="center"/>
    </xf>
    <xf numFmtId="0" fontId="52" fillId="0" borderId="3" xfId="0" applyFont="1" applyBorder="1" applyAlignment="1">
      <alignment vertical="center" wrapText="1"/>
    </xf>
    <xf numFmtId="0" fontId="33" fillId="4" borderId="71" xfId="8" applyFont="1" applyFill="1" applyBorder="1" applyAlignment="1">
      <alignment horizontal="center" vertical="center"/>
    </xf>
    <xf numFmtId="0" fontId="33" fillId="4" borderId="71" xfId="8" applyFont="1" applyFill="1" applyBorder="1" applyAlignment="1">
      <alignment vertical="center" wrapText="1"/>
    </xf>
    <xf numFmtId="14" fontId="33" fillId="4" borderId="71" xfId="8" applyNumberFormat="1" applyFont="1" applyFill="1" applyBorder="1" applyAlignment="1">
      <alignment horizontal="center" vertical="center"/>
    </xf>
    <xf numFmtId="3" fontId="33" fillId="4" borderId="71" xfId="8" applyNumberFormat="1" applyFont="1" applyFill="1" applyBorder="1" applyAlignment="1">
      <alignment horizontal="right" vertical="center"/>
    </xf>
    <xf numFmtId="0" fontId="15" fillId="4" borderId="71" xfId="1" applyFill="1" applyBorder="1" applyAlignment="1">
      <alignment vertical="center" wrapText="1"/>
    </xf>
    <xf numFmtId="0" fontId="1" fillId="0" borderId="0" xfId="8" applyFont="1" applyAlignment="1">
      <alignment vertical="center"/>
    </xf>
    <xf numFmtId="14" fontId="2" fillId="4" borderId="0" xfId="8" applyNumberFormat="1" applyFont="1" applyFill="1" applyAlignment="1">
      <alignment horizontal="center" vertical="top"/>
    </xf>
    <xf numFmtId="0" fontId="33" fillId="4" borderId="74" xfId="8" applyFont="1" applyFill="1" applyBorder="1" applyAlignment="1">
      <alignment vertical="center" wrapText="1"/>
    </xf>
    <xf numFmtId="0" fontId="33" fillId="4" borderId="3" xfId="8" applyFont="1" applyFill="1" applyBorder="1" applyAlignment="1">
      <alignment horizontal="center" vertical="center"/>
    </xf>
    <xf numFmtId="0" fontId="2" fillId="0" borderId="3" xfId="8" applyFont="1" applyBorder="1" applyAlignment="1">
      <alignment horizontal="center" vertical="center"/>
    </xf>
    <xf numFmtId="0" fontId="30" fillId="7" borderId="76" xfId="8" applyFont="1" applyFill="1" applyBorder="1" applyAlignment="1">
      <alignment horizontal="center" vertical="center" wrapText="1"/>
    </xf>
    <xf numFmtId="0" fontId="30" fillId="4" borderId="0" xfId="8" applyFont="1" applyFill="1" applyAlignment="1">
      <alignment horizontal="center" vertical="top"/>
    </xf>
    <xf numFmtId="0" fontId="30" fillId="4" borderId="0" xfId="8" applyFont="1" applyFill="1" applyAlignment="1">
      <alignment horizontal="center"/>
    </xf>
    <xf numFmtId="0" fontId="53" fillId="0" borderId="0" xfId="0" applyFont="1" applyAlignment="1">
      <alignment vertical="center" wrapText="1"/>
    </xf>
    <xf numFmtId="0" fontId="1" fillId="0" borderId="0" xfId="8" applyFont="1" applyAlignment="1">
      <alignment vertical="center" wrapText="1"/>
    </xf>
    <xf numFmtId="0" fontId="30" fillId="4" borderId="0" xfId="8" applyFont="1" applyFill="1" applyAlignment="1">
      <alignment horizontal="right"/>
    </xf>
    <xf numFmtId="0" fontId="30" fillId="4" borderId="0" xfId="8" applyFont="1" applyFill="1" applyAlignment="1">
      <alignment horizontal="right" vertical="top"/>
    </xf>
    <xf numFmtId="14" fontId="2" fillId="0" borderId="0" xfId="8" applyNumberFormat="1" applyFont="1" applyAlignment="1">
      <alignment vertical="center" wrapText="1"/>
    </xf>
    <xf numFmtId="0" fontId="53" fillId="0" borderId="0" xfId="0" applyFont="1"/>
    <xf numFmtId="0" fontId="33" fillId="4" borderId="76" xfId="8" applyFont="1" applyFill="1" applyBorder="1" applyAlignment="1">
      <alignment horizontal="center" vertical="center"/>
    </xf>
    <xf numFmtId="0" fontId="33" fillId="4" borderId="70" xfId="8" applyFont="1" applyFill="1" applyBorder="1" applyAlignment="1">
      <alignment horizontal="center" vertical="center"/>
    </xf>
    <xf numFmtId="0" fontId="33" fillId="4" borderId="71" xfId="8" applyFont="1" applyFill="1" applyBorder="1" applyAlignment="1">
      <alignment horizontal="center" vertical="center" wrapText="1"/>
    </xf>
    <xf numFmtId="0" fontId="33" fillId="4" borderId="72" xfId="8" applyFont="1" applyFill="1" applyBorder="1" applyAlignment="1">
      <alignment horizontal="center" vertical="center"/>
    </xf>
    <xf numFmtId="0" fontId="33" fillId="4" borderId="74" xfId="8" applyFont="1" applyFill="1" applyBorder="1" applyAlignment="1">
      <alignment horizontal="center" vertical="center"/>
    </xf>
    <xf numFmtId="0" fontId="33" fillId="4" borderId="76" xfId="8" applyFont="1" applyFill="1" applyBorder="1" applyAlignment="1">
      <alignment horizontal="center" vertical="center"/>
    </xf>
    <xf numFmtId="0" fontId="33" fillId="4" borderId="77" xfId="8" applyFont="1" applyFill="1" applyBorder="1" applyAlignment="1">
      <alignment horizontal="center" vertical="center"/>
    </xf>
    <xf numFmtId="0" fontId="33" fillId="4" borderId="70" xfId="8" applyFont="1" applyFill="1" applyBorder="1" applyAlignment="1">
      <alignment horizontal="center" vertical="center"/>
    </xf>
    <xf numFmtId="0" fontId="15" fillId="4" borderId="76" xfId="1" applyFill="1" applyBorder="1" applyAlignment="1">
      <alignment horizontal="center" vertical="center" wrapText="1"/>
    </xf>
    <xf numFmtId="0" fontId="15" fillId="4" borderId="77" xfId="1" applyFill="1" applyBorder="1" applyAlignment="1">
      <alignment horizontal="center" vertical="center" wrapText="1"/>
    </xf>
    <xf numFmtId="0" fontId="15" fillId="4" borderId="70" xfId="1" applyFill="1" applyBorder="1" applyAlignment="1">
      <alignment horizontal="center" vertical="center" wrapText="1"/>
    </xf>
    <xf numFmtId="0" fontId="33" fillId="4" borderId="78" xfId="8" applyFont="1" applyFill="1" applyBorder="1" applyAlignment="1">
      <alignment horizontal="center" vertical="center"/>
    </xf>
    <xf numFmtId="0" fontId="33" fillId="4" borderId="79" xfId="8" applyFont="1" applyFill="1" applyBorder="1" applyAlignment="1">
      <alignment horizontal="center" vertical="center"/>
    </xf>
    <xf numFmtId="0" fontId="33" fillId="4" borderId="2" xfId="8" applyFont="1" applyFill="1" applyBorder="1" applyAlignment="1">
      <alignment horizontal="center" vertical="center"/>
    </xf>
    <xf numFmtId="0" fontId="33" fillId="4" borderId="3" xfId="8" applyFont="1" applyFill="1" applyBorder="1" applyAlignment="1">
      <alignment horizontal="center" vertical="center"/>
    </xf>
    <xf numFmtId="14" fontId="33" fillId="4" borderId="76" xfId="8" applyNumberFormat="1" applyFont="1" applyFill="1" applyBorder="1" applyAlignment="1">
      <alignment horizontal="center" vertical="center"/>
    </xf>
    <xf numFmtId="14" fontId="33" fillId="4" borderId="77" xfId="8" applyNumberFormat="1" applyFont="1" applyFill="1" applyBorder="1" applyAlignment="1">
      <alignment horizontal="center" vertical="center"/>
    </xf>
    <xf numFmtId="14" fontId="33" fillId="4" borderId="70" xfId="8" applyNumberFormat="1" applyFont="1" applyFill="1" applyBorder="1" applyAlignment="1">
      <alignment horizontal="center" vertical="center"/>
    </xf>
    <xf numFmtId="0" fontId="33" fillId="8" borderId="71" xfId="8" applyFont="1" applyFill="1" applyBorder="1" applyAlignment="1">
      <alignment horizontal="left" vertical="center" wrapText="1" indent="1"/>
    </xf>
    <xf numFmtId="0" fontId="2" fillId="0" borderId="71" xfId="8" applyFont="1" applyBorder="1" applyAlignment="1">
      <alignment horizontal="left" vertical="center" indent="1"/>
    </xf>
    <xf numFmtId="0" fontId="33" fillId="9" borderId="72" xfId="8" applyFont="1" applyFill="1" applyBorder="1" applyAlignment="1">
      <alignment horizontal="center" vertical="center" wrapText="1"/>
    </xf>
    <xf numFmtId="0" fontId="33" fillId="9" borderId="73" xfId="8" applyFont="1" applyFill="1" applyBorder="1" applyAlignment="1">
      <alignment horizontal="center" vertical="center" wrapText="1"/>
    </xf>
    <xf numFmtId="0" fontId="33" fillId="9" borderId="74" xfId="8" applyFont="1" applyFill="1" applyBorder="1" applyAlignment="1">
      <alignment horizontal="center" vertical="center" wrapText="1"/>
    </xf>
    <xf numFmtId="0" fontId="33" fillId="9" borderId="71" xfId="8" applyFont="1" applyFill="1" applyBorder="1" applyAlignment="1">
      <alignment horizontal="center" vertical="center" wrapText="1"/>
    </xf>
    <xf numFmtId="0" fontId="2" fillId="0" borderId="71" xfId="8" applyFont="1" applyBorder="1" applyAlignment="1">
      <alignment vertical="center"/>
    </xf>
    <xf numFmtId="0" fontId="33" fillId="9" borderId="71" xfId="8" applyFont="1" applyFill="1" applyBorder="1" applyAlignment="1">
      <alignment horizontal="left" vertical="center" wrapText="1"/>
    </xf>
    <xf numFmtId="0" fontId="29" fillId="6" borderId="71" xfId="8" applyFont="1" applyFill="1" applyBorder="1" applyAlignment="1">
      <alignment horizontal="left" vertical="center" wrapText="1"/>
    </xf>
    <xf numFmtId="0" fontId="2" fillId="6" borderId="71" xfId="8" applyFont="1" applyFill="1" applyBorder="1" applyAlignment="1">
      <alignment vertical="center"/>
    </xf>
    <xf numFmtId="0" fontId="33" fillId="8" borderId="71" xfId="8" applyFont="1" applyFill="1" applyBorder="1" applyAlignment="1">
      <alignment horizontal="left" vertical="center" wrapText="1"/>
    </xf>
    <xf numFmtId="0" fontId="30" fillId="7" borderId="71" xfId="8" applyFont="1" applyFill="1" applyBorder="1" applyAlignment="1">
      <alignment horizontal="left" vertical="center" wrapText="1"/>
    </xf>
    <xf numFmtId="0" fontId="33" fillId="7" borderId="71" xfId="8" applyFont="1" applyFill="1" applyBorder="1" applyAlignment="1">
      <alignment vertical="center"/>
    </xf>
    <xf numFmtId="0" fontId="30" fillId="7" borderId="71" xfId="8" applyFont="1" applyFill="1" applyBorder="1" applyAlignment="1">
      <alignment horizontal="center" vertical="center" wrapText="1"/>
    </xf>
    <xf numFmtId="0" fontId="30" fillId="7" borderId="72" xfId="8" applyFont="1" applyFill="1" applyBorder="1" applyAlignment="1">
      <alignment horizontal="center" vertical="center" wrapText="1"/>
    </xf>
    <xf numFmtId="0" fontId="30" fillId="7" borderId="73" xfId="8" applyFont="1" applyFill="1" applyBorder="1" applyAlignment="1">
      <alignment horizontal="center" vertical="center" wrapText="1"/>
    </xf>
    <xf numFmtId="0" fontId="30" fillId="7" borderId="74" xfId="8" applyFont="1" applyFill="1" applyBorder="1" applyAlignment="1">
      <alignment horizontal="center" vertical="center" wrapText="1"/>
    </xf>
    <xf numFmtId="0" fontId="30" fillId="8" borderId="71" xfId="8" applyFont="1" applyFill="1" applyBorder="1" applyAlignment="1">
      <alignment horizontal="left" vertical="center" wrapText="1" indent="1"/>
    </xf>
    <xf numFmtId="0" fontId="33" fillId="9" borderId="71" xfId="8" applyFont="1" applyFill="1" applyBorder="1" applyAlignment="1">
      <alignment horizontal="left" vertical="center"/>
    </xf>
    <xf numFmtId="0" fontId="30" fillId="7" borderId="70" xfId="8" applyFont="1" applyFill="1" applyBorder="1" applyAlignment="1">
      <alignment horizontal="left" vertical="center" wrapText="1"/>
    </xf>
    <xf numFmtId="0" fontId="33" fillId="7" borderId="70" xfId="8" applyFont="1" applyFill="1" applyBorder="1" applyAlignment="1">
      <alignment vertical="center"/>
    </xf>
    <xf numFmtId="0" fontId="33" fillId="9" borderId="72" xfId="8" applyFont="1" applyFill="1" applyBorder="1" applyAlignment="1">
      <alignment horizontal="left" wrapText="1"/>
    </xf>
    <xf numFmtId="0" fontId="33" fillId="9" borderId="73" xfId="8" applyFont="1" applyFill="1" applyBorder="1" applyAlignment="1">
      <alignment horizontal="left" wrapText="1"/>
    </xf>
    <xf numFmtId="0" fontId="33" fillId="9" borderId="74" xfId="8" applyFont="1" applyFill="1" applyBorder="1" applyAlignment="1">
      <alignment horizontal="left" wrapText="1"/>
    </xf>
    <xf numFmtId="165" fontId="0" fillId="0" borderId="8" xfId="3" applyNumberFormat="1" applyFont="1" applyBorder="1" applyAlignment="1">
      <alignment horizontal="center" vertical="center"/>
    </xf>
    <xf numFmtId="165" fontId="0" fillId="0" borderId="31" xfId="3" applyNumberFormat="1" applyFont="1" applyBorder="1" applyAlignment="1">
      <alignment horizontal="center" vertical="center"/>
    </xf>
    <xf numFmtId="165" fontId="0" fillId="0" borderId="26" xfId="3" applyNumberFormat="1" applyFont="1" applyBorder="1" applyAlignment="1">
      <alignment horizontal="center" vertical="center"/>
    </xf>
    <xf numFmtId="0" fontId="23" fillId="6" borderId="0" xfId="0" applyFont="1" applyFill="1" applyAlignment="1">
      <alignment horizontal="center" vertical="center"/>
    </xf>
    <xf numFmtId="0" fontId="23" fillId="6" borderId="46" xfId="0" applyFont="1" applyFill="1" applyBorder="1" applyAlignment="1">
      <alignment horizontal="center" vertical="center"/>
    </xf>
    <xf numFmtId="0" fontId="16" fillId="3" borderId="0" xfId="0" applyFont="1" applyFill="1" applyAlignment="1">
      <alignment vertical="center"/>
    </xf>
    <xf numFmtId="0" fontId="16" fillId="3" borderId="46" xfId="0" applyFont="1" applyFill="1" applyBorder="1" applyAlignment="1">
      <alignment vertical="center"/>
    </xf>
    <xf numFmtId="0" fontId="5" fillId="0" borderId="65" xfId="0" applyFont="1" applyBorder="1" applyAlignment="1">
      <alignment horizontal="center" vertical="center"/>
    </xf>
    <xf numFmtId="0" fontId="5" fillId="0" borderId="66" xfId="0" applyFont="1" applyBorder="1" applyAlignment="1">
      <alignment horizontal="center" vertical="center"/>
    </xf>
    <xf numFmtId="0" fontId="5" fillId="0" borderId="57" xfId="0" applyFont="1" applyBorder="1" applyAlignment="1">
      <alignment vertical="center" wrapText="1"/>
    </xf>
    <xf numFmtId="0" fontId="5" fillId="0" borderId="58" xfId="0" applyFont="1" applyBorder="1" applyAlignment="1">
      <alignment vertical="center" wrapText="1"/>
    </xf>
    <xf numFmtId="0" fontId="5" fillId="0" borderId="59" xfId="0" applyFont="1" applyBorder="1" applyAlignment="1">
      <alignment vertical="center" wrapText="1"/>
    </xf>
    <xf numFmtId="0" fontId="5" fillId="0" borderId="67" xfId="0" applyFont="1" applyBorder="1" applyAlignment="1">
      <alignment vertical="center" wrapText="1"/>
    </xf>
    <xf numFmtId="0" fontId="5" fillId="0" borderId="65" xfId="0" applyFont="1" applyBorder="1" applyAlignment="1">
      <alignment vertical="center" wrapText="1"/>
    </xf>
    <xf numFmtId="0" fontId="5" fillId="0" borderId="66" xfId="0" applyFont="1" applyBorder="1" applyAlignment="1">
      <alignment vertical="center" wrapText="1"/>
    </xf>
    <xf numFmtId="0" fontId="23" fillId="6" borderId="64" xfId="0" applyFont="1" applyFill="1" applyBorder="1" applyAlignment="1">
      <alignment horizontal="center" vertical="center" wrapText="1"/>
    </xf>
    <xf numFmtId="0" fontId="23" fillId="6" borderId="68" xfId="0" applyFont="1" applyFill="1" applyBorder="1" applyAlignment="1">
      <alignment horizontal="center" vertical="center" wrapText="1"/>
    </xf>
    <xf numFmtId="0" fontId="23" fillId="6" borderId="30" xfId="0" applyFont="1" applyFill="1" applyBorder="1" applyAlignment="1">
      <alignment horizontal="center" vertical="center" wrapText="1"/>
    </xf>
    <xf numFmtId="0" fontId="15" fillId="0" borderId="60" xfId="1" applyBorder="1" applyAlignment="1">
      <alignment horizontal="left" vertical="center" indent="1"/>
    </xf>
    <xf numFmtId="0" fontId="15" fillId="0" borderId="62" xfId="1" applyBorder="1" applyAlignment="1">
      <alignment horizontal="left" vertical="center" indent="1"/>
    </xf>
    <xf numFmtId="0" fontId="15" fillId="0" borderId="63" xfId="1" applyBorder="1" applyAlignment="1">
      <alignment horizontal="left" vertical="center" indent="1"/>
    </xf>
    <xf numFmtId="0" fontId="0" fillId="0" borderId="8"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18" fillId="5" borderId="0" xfId="0" applyFont="1" applyFill="1" applyAlignment="1">
      <alignment horizontal="center" vertical="center"/>
    </xf>
    <xf numFmtId="0" fontId="12" fillId="5" borderId="0" xfId="0" applyFont="1" applyFill="1" applyAlignment="1">
      <alignment horizontal="center" vertical="center"/>
    </xf>
    <xf numFmtId="0" fontId="21" fillId="5" borderId="0" xfId="0" applyFont="1" applyFill="1" applyAlignment="1">
      <alignment horizontal="right" vertical="center"/>
    </xf>
    <xf numFmtId="0" fontId="8" fillId="0" borderId="51" xfId="0" applyFont="1" applyBorder="1" applyAlignment="1">
      <alignment horizontal="left" vertical="center"/>
    </xf>
    <xf numFmtId="0" fontId="0" fillId="0" borderId="51" xfId="0" applyBorder="1" applyAlignment="1">
      <alignment horizontal="left" vertical="center"/>
    </xf>
    <xf numFmtId="0" fontId="5" fillId="3" borderId="19"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45" xfId="0" applyFont="1" applyFill="1" applyBorder="1" applyAlignment="1">
      <alignment horizontal="center" vertical="center" wrapText="1"/>
    </xf>
    <xf numFmtId="0" fontId="8" fillId="0" borderId="61" xfId="0" applyFont="1" applyBorder="1" applyAlignment="1">
      <alignment horizontal="left" vertical="center"/>
    </xf>
    <xf numFmtId="0" fontId="0" fillId="0" borderId="61" xfId="0" applyBorder="1" applyAlignment="1">
      <alignment horizontal="left" vertical="center"/>
    </xf>
    <xf numFmtId="0" fontId="15" fillId="0" borderId="51" xfId="1" applyBorder="1" applyAlignment="1">
      <alignment horizontal="left" vertical="center"/>
    </xf>
    <xf numFmtId="0" fontId="8" fillId="0" borderId="0" xfId="0" applyFont="1" applyAlignment="1">
      <alignment horizontal="center" wrapText="1"/>
    </xf>
    <xf numFmtId="14" fontId="8" fillId="0" borderId="62" xfId="0" applyNumberFormat="1" applyFont="1" applyBorder="1" applyAlignment="1">
      <alignment horizontal="left" vertical="center"/>
    </xf>
    <xf numFmtId="14" fontId="8" fillId="0" borderId="58" xfId="0" applyNumberFormat="1" applyFont="1" applyBorder="1" applyAlignment="1">
      <alignment horizontal="left" vertical="center"/>
    </xf>
    <xf numFmtId="14" fontId="8" fillId="0" borderId="59" xfId="0" applyNumberFormat="1" applyFont="1" applyBorder="1" applyAlignment="1">
      <alignment horizontal="left" vertical="center"/>
    </xf>
    <xf numFmtId="0" fontId="8" fillId="0" borderId="58" xfId="0" applyFont="1" applyBorder="1" applyAlignment="1">
      <alignment horizontal="left" vertical="center"/>
    </xf>
    <xf numFmtId="0" fontId="8" fillId="0" borderId="0" xfId="0" applyFont="1" applyAlignment="1">
      <alignment horizontal="left" vertical="center"/>
    </xf>
    <xf numFmtId="0" fontId="8" fillId="0" borderId="56" xfId="0" applyFont="1" applyBorder="1" applyAlignment="1">
      <alignment horizontal="left"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23" fillId="6" borderId="40" xfId="0" applyFont="1" applyFill="1" applyBorder="1" applyAlignment="1">
      <alignment horizontal="left" vertical="center" indent="1"/>
    </xf>
    <xf numFmtId="0" fontId="23" fillId="6" borderId="0" xfId="0" applyFont="1" applyFill="1" applyAlignment="1">
      <alignment horizontal="left" vertical="center" indent="1"/>
    </xf>
    <xf numFmtId="0" fontId="5" fillId="3" borderId="16" xfId="0" applyFont="1" applyFill="1" applyBorder="1" applyAlignment="1">
      <alignment horizontal="center" vertical="center" wrapText="1"/>
    </xf>
    <xf numFmtId="0" fontId="5" fillId="3" borderId="19" xfId="0" applyFont="1" applyFill="1" applyBorder="1" applyAlignment="1">
      <alignment horizontal="left" vertical="center" wrapText="1" indent="1"/>
    </xf>
    <xf numFmtId="0" fontId="5" fillId="3" borderId="6" xfId="0" applyFont="1" applyFill="1" applyBorder="1" applyAlignment="1">
      <alignment horizontal="left" vertical="center" wrapText="1" indent="1"/>
    </xf>
    <xf numFmtId="0" fontId="40" fillId="0" borderId="8" xfId="0" applyFont="1" applyBorder="1" applyAlignment="1">
      <alignment horizontal="center" vertical="center"/>
    </xf>
    <xf numFmtId="0" fontId="40" fillId="0" borderId="26" xfId="0" applyFont="1" applyBorder="1" applyAlignment="1">
      <alignment horizontal="center" vertical="center"/>
    </xf>
    <xf numFmtId="0" fontId="41" fillId="5" borderId="0" xfId="0" applyFont="1" applyFill="1" applyAlignment="1">
      <alignment horizontal="center" vertical="center"/>
    </xf>
    <xf numFmtId="0" fontId="39" fillId="5" borderId="0" xfId="0" applyFont="1" applyFill="1" applyAlignment="1">
      <alignment horizontal="center" vertical="center"/>
    </xf>
    <xf numFmtId="0" fontId="42" fillId="5" borderId="0" xfId="0" applyFont="1" applyFill="1" applyAlignment="1">
      <alignment horizontal="right" vertical="center"/>
    </xf>
    <xf numFmtId="0" fontId="36" fillId="0" borderId="0" xfId="0" applyFont="1" applyAlignment="1">
      <alignment horizontal="center" vertical="center" wrapText="1"/>
    </xf>
    <xf numFmtId="0" fontId="48" fillId="6" borderId="40" xfId="0" applyFont="1" applyFill="1" applyBorder="1" applyAlignment="1">
      <alignment horizontal="left" vertical="center" indent="1"/>
    </xf>
    <xf numFmtId="0" fontId="48" fillId="6" borderId="0" xfId="0" applyFont="1" applyFill="1" applyAlignment="1">
      <alignment horizontal="left" vertical="center" indent="1"/>
    </xf>
    <xf numFmtId="0" fontId="40" fillId="0" borderId="8" xfId="0" applyFont="1" applyBorder="1" applyAlignment="1">
      <alignment horizontal="left" vertical="center" wrapText="1"/>
    </xf>
    <xf numFmtId="0" fontId="40" fillId="0" borderId="31" xfId="0" applyFont="1" applyBorder="1" applyAlignment="1">
      <alignment horizontal="left" vertical="center" wrapText="1"/>
    </xf>
    <xf numFmtId="0" fontId="40" fillId="0" borderId="26" xfId="0" applyFont="1" applyBorder="1" applyAlignment="1">
      <alignment horizontal="left" vertical="center" wrapText="1"/>
    </xf>
    <xf numFmtId="0" fontId="47" fillId="3" borderId="19" xfId="0" applyFont="1" applyFill="1" applyBorder="1" applyAlignment="1">
      <alignment horizontal="center" vertical="center" wrapText="1"/>
    </xf>
    <xf numFmtId="0" fontId="47" fillId="3" borderId="6" xfId="0" applyFont="1" applyFill="1" applyBorder="1" applyAlignment="1">
      <alignment horizontal="center" vertical="center" wrapText="1"/>
    </xf>
    <xf numFmtId="0" fontId="47" fillId="3" borderId="45" xfId="0" applyFont="1" applyFill="1" applyBorder="1" applyAlignment="1">
      <alignment horizontal="center" vertical="center" wrapText="1"/>
    </xf>
    <xf numFmtId="0" fontId="47" fillId="3" borderId="67" xfId="0" applyFont="1" applyFill="1" applyBorder="1" applyAlignment="1">
      <alignment horizontal="left" vertical="center" wrapText="1" indent="1"/>
    </xf>
    <xf numFmtId="0" fontId="47" fillId="3" borderId="66" xfId="0" applyFont="1" applyFill="1" applyBorder="1" applyAlignment="1">
      <alignment horizontal="left" vertical="center" wrapText="1" indent="1"/>
    </xf>
    <xf numFmtId="0" fontId="47" fillId="3" borderId="62" xfId="0" applyFont="1" applyFill="1" applyBorder="1" applyAlignment="1">
      <alignment horizontal="left" vertical="center" wrapText="1" indent="1"/>
    </xf>
    <xf numFmtId="0" fontId="47" fillId="3" borderId="63" xfId="0" applyFont="1" applyFill="1" applyBorder="1" applyAlignment="1">
      <alignment horizontal="left" vertical="center" wrapText="1" indent="1"/>
    </xf>
    <xf numFmtId="0" fontId="47" fillId="3" borderId="0" xfId="0" applyFont="1" applyFill="1" applyAlignment="1">
      <alignment horizontal="left" vertical="center" wrapText="1" indent="1"/>
    </xf>
    <xf numFmtId="0" fontId="48" fillId="6" borderId="0" xfId="0" applyFont="1" applyFill="1" applyAlignment="1">
      <alignment horizontal="center" vertical="center"/>
    </xf>
    <xf numFmtId="0" fontId="48" fillId="6" borderId="46" xfId="0" applyFont="1" applyFill="1" applyBorder="1" applyAlignment="1">
      <alignment horizontal="center" vertical="center"/>
    </xf>
    <xf numFmtId="0" fontId="49" fillId="3" borderId="0" xfId="0" applyFont="1" applyFill="1" applyAlignment="1">
      <alignment vertical="center"/>
    </xf>
    <xf numFmtId="0" fontId="49" fillId="3" borderId="46" xfId="0" applyFont="1" applyFill="1" applyBorder="1" applyAlignment="1">
      <alignment vertical="center"/>
    </xf>
    <xf numFmtId="0" fontId="47" fillId="3" borderId="33" xfId="0" applyFont="1" applyFill="1" applyBorder="1" applyAlignment="1">
      <alignment horizontal="center" vertical="center"/>
    </xf>
    <xf numFmtId="0" fontId="47" fillId="3" borderId="34" xfId="0" applyFont="1" applyFill="1" applyBorder="1" applyAlignment="1">
      <alignment horizontal="center" vertical="center"/>
    </xf>
    <xf numFmtId="0" fontId="33" fillId="9" borderId="72" xfId="8" applyFont="1" applyFill="1" applyBorder="1" applyAlignment="1">
      <alignment horizontal="left" vertical="center" wrapText="1"/>
    </xf>
    <xf numFmtId="0" fontId="33" fillId="9" borderId="73" xfId="8" applyFont="1" applyFill="1" applyBorder="1" applyAlignment="1">
      <alignment horizontal="left" vertical="center" wrapText="1"/>
    </xf>
    <xf numFmtId="0" fontId="33" fillId="9" borderId="74" xfId="8" applyFont="1" applyFill="1" applyBorder="1" applyAlignment="1">
      <alignment horizontal="left" vertical="center" wrapText="1"/>
    </xf>
    <xf numFmtId="0" fontId="53" fillId="0" borderId="76" xfId="0" applyFont="1" applyBorder="1" applyAlignment="1">
      <alignment horizontal="center" vertical="center"/>
    </xf>
    <xf numFmtId="0" fontId="53" fillId="0" borderId="77" xfId="0" applyFont="1" applyBorder="1" applyAlignment="1">
      <alignment horizontal="center" vertical="center"/>
    </xf>
    <xf numFmtId="0" fontId="53" fillId="0" borderId="70" xfId="0" applyFont="1" applyBorder="1" applyAlignment="1">
      <alignment horizontal="center" vertical="center"/>
    </xf>
    <xf numFmtId="0" fontId="1" fillId="0" borderId="76" xfId="8" applyFont="1" applyBorder="1" applyAlignment="1">
      <alignment horizontal="center" vertical="center"/>
    </xf>
    <xf numFmtId="0" fontId="2" fillId="0" borderId="77" xfId="8" applyFont="1" applyBorder="1" applyAlignment="1">
      <alignment horizontal="center" vertical="center"/>
    </xf>
    <xf numFmtId="0" fontId="2" fillId="0" borderId="70" xfId="8" applyFont="1" applyBorder="1" applyAlignment="1">
      <alignment horizontal="center" vertical="center"/>
    </xf>
    <xf numFmtId="0" fontId="33" fillId="4" borderId="76" xfId="8" applyFont="1" applyFill="1" applyBorder="1" applyAlignment="1">
      <alignment horizontal="center" vertical="center" wrapText="1"/>
    </xf>
    <xf numFmtId="0" fontId="33" fillId="4" borderId="70" xfId="8" applyFont="1" applyFill="1" applyBorder="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left" wrapText="1"/>
    </xf>
    <xf numFmtId="0" fontId="0" fillId="0" borderId="0" xfId="0" applyAlignment="1">
      <alignment horizontal="left" wrapText="1"/>
    </xf>
    <xf numFmtId="0" fontId="8" fillId="0" borderId="8" xfId="0" applyFont="1" applyBorder="1" applyAlignment="1">
      <alignment horizontal="left" vertical="center"/>
    </xf>
    <xf numFmtId="0" fontId="8" fillId="0" borderId="31" xfId="0" applyFont="1" applyBorder="1" applyAlignment="1">
      <alignment horizontal="left" vertical="center"/>
    </xf>
    <xf numFmtId="0" fontId="8" fillId="0" borderId="32" xfId="0" applyFont="1" applyBorder="1" applyAlignment="1">
      <alignment horizontal="left" vertical="center"/>
    </xf>
    <xf numFmtId="0" fontId="8" fillId="0" borderId="11" xfId="0" applyFont="1" applyBorder="1" applyAlignment="1">
      <alignment horizontal="left" vertical="center"/>
    </xf>
    <xf numFmtId="0" fontId="8" fillId="0" borderId="20" xfId="0" applyFont="1" applyBorder="1" applyAlignment="1">
      <alignment horizontal="left" vertical="center"/>
    </xf>
    <xf numFmtId="0" fontId="8" fillId="0" borderId="21" xfId="0" applyFont="1" applyBorder="1" applyAlignment="1">
      <alignment horizontal="left" vertical="center"/>
    </xf>
    <xf numFmtId="0" fontId="8" fillId="0" borderId="33" xfId="0" applyFont="1" applyBorder="1" applyAlignment="1">
      <alignment horizontal="center" vertical="center"/>
    </xf>
    <xf numFmtId="0" fontId="8" fillId="0" borderId="34" xfId="0" applyFont="1" applyBorder="1" applyAlignment="1">
      <alignment horizontal="center" vertical="center"/>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8" fillId="0" borderId="0" xfId="0" applyFont="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8" fillId="0" borderId="5" xfId="0" applyFont="1" applyBorder="1" applyAlignment="1">
      <alignment horizontal="center" vertical="center"/>
    </xf>
    <xf numFmtId="0" fontId="8" fillId="0" borderId="39" xfId="0" applyFont="1" applyBorder="1" applyAlignment="1">
      <alignment horizontal="center" vertical="center"/>
    </xf>
    <xf numFmtId="0" fontId="15" fillId="0" borderId="8" xfId="1" applyBorder="1" applyAlignment="1">
      <alignment horizontal="left" vertical="center"/>
    </xf>
    <xf numFmtId="0" fontId="15" fillId="0" borderId="31" xfId="1" applyBorder="1" applyAlignment="1">
      <alignment horizontal="left" vertical="center"/>
    </xf>
    <xf numFmtId="0" fontId="15" fillId="0" borderId="32" xfId="1" applyBorder="1" applyAlignment="1">
      <alignment horizontal="left" vertical="center"/>
    </xf>
    <xf numFmtId="49" fontId="8" fillId="0" borderId="8" xfId="0" applyNumberFormat="1" applyFont="1" applyBorder="1" applyAlignment="1">
      <alignment horizontal="left" vertical="center"/>
    </xf>
    <xf numFmtId="49" fontId="8" fillId="0" borderId="31" xfId="0" applyNumberFormat="1" applyFont="1" applyBorder="1" applyAlignment="1">
      <alignment horizontal="left" vertical="center"/>
    </xf>
    <xf numFmtId="49" fontId="8" fillId="0" borderId="32" xfId="0" applyNumberFormat="1" applyFont="1" applyBorder="1" applyAlignment="1">
      <alignment horizontal="left" vertical="center"/>
    </xf>
    <xf numFmtId="14" fontId="8" fillId="0" borderId="16" xfId="0" applyNumberFormat="1" applyFont="1" applyBorder="1" applyAlignment="1">
      <alignment horizontal="left" vertical="center"/>
    </xf>
    <xf numFmtId="14" fontId="8" fillId="0" borderId="6" xfId="0" applyNumberFormat="1" applyFont="1" applyBorder="1" applyAlignment="1">
      <alignment horizontal="left" vertical="center"/>
    </xf>
    <xf numFmtId="14" fontId="8" fillId="0" borderId="7" xfId="0" applyNumberFormat="1" applyFont="1" applyBorder="1" applyAlignment="1">
      <alignment horizontal="left" vertical="center"/>
    </xf>
    <xf numFmtId="0" fontId="8" fillId="0" borderId="0" xfId="0" applyFont="1" applyAlignment="1">
      <alignment horizontal="center" vertical="center" wrapText="1"/>
    </xf>
    <xf numFmtId="0" fontId="14" fillId="3" borderId="48" xfId="0" applyFont="1" applyFill="1" applyBorder="1" applyAlignment="1">
      <alignment horizontal="center" vertical="center" wrapText="1"/>
    </xf>
    <xf numFmtId="0" fontId="14" fillId="3" borderId="49" xfId="0" applyFont="1" applyFill="1" applyBorder="1" applyAlignment="1">
      <alignment horizontal="center" vertical="center"/>
    </xf>
    <xf numFmtId="0" fontId="14" fillId="3" borderId="47" xfId="0" applyFont="1" applyFill="1" applyBorder="1" applyAlignment="1">
      <alignment horizontal="center" vertical="center"/>
    </xf>
    <xf numFmtId="0" fontId="5" fillId="3" borderId="27"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10" fillId="3" borderId="19"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8" fillId="0" borderId="16" xfId="0" applyFont="1" applyBorder="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164" fontId="8" fillId="0" borderId="16" xfId="0" applyNumberFormat="1" applyFont="1" applyBorder="1" applyAlignment="1">
      <alignment horizontal="left" vertical="center"/>
    </xf>
    <xf numFmtId="164" fontId="8" fillId="0" borderId="6" xfId="0" applyNumberFormat="1" applyFont="1" applyBorder="1" applyAlignment="1">
      <alignment horizontal="left" vertical="center"/>
    </xf>
    <xf numFmtId="164" fontId="8" fillId="0" borderId="7" xfId="0" applyNumberFormat="1" applyFont="1" applyBorder="1" applyAlignment="1">
      <alignment horizontal="left" vertical="center"/>
    </xf>
    <xf numFmtId="164" fontId="8" fillId="0" borderId="8" xfId="0" applyNumberFormat="1" applyFont="1" applyBorder="1" applyAlignment="1">
      <alignment horizontal="left" vertical="center"/>
    </xf>
    <xf numFmtId="164" fontId="8" fillId="0" borderId="31" xfId="0" applyNumberFormat="1" applyFont="1" applyBorder="1" applyAlignment="1">
      <alignment horizontal="left" vertical="center"/>
    </xf>
    <xf numFmtId="164" fontId="8" fillId="0" borderId="32" xfId="0" applyNumberFormat="1" applyFont="1" applyBorder="1" applyAlignment="1">
      <alignment horizontal="left" vertical="center"/>
    </xf>
    <xf numFmtId="0" fontId="8" fillId="4" borderId="11" xfId="0" applyFont="1" applyFill="1" applyBorder="1" applyAlignment="1">
      <alignment horizontal="left" vertical="center"/>
    </xf>
    <xf numFmtId="0" fontId="8" fillId="4" borderId="20" xfId="0" applyFont="1" applyFill="1" applyBorder="1" applyAlignment="1">
      <alignment horizontal="left" vertical="center"/>
    </xf>
    <xf numFmtId="0" fontId="8" fillId="4" borderId="21" xfId="0" applyFont="1" applyFill="1" applyBorder="1" applyAlignment="1">
      <alignment horizontal="left" vertical="center"/>
    </xf>
  </cellXfs>
  <cellStyles count="10">
    <cellStyle name="Comma" xfId="3" builtinId="3"/>
    <cellStyle name="Comma 2" xfId="7" xr:uid="{2317941D-F37B-4A96-8513-89E3B14D894B}"/>
    <cellStyle name="Currency 2" xfId="2" xr:uid="{00000000-0005-0000-0000-000001000000}"/>
    <cellStyle name="Hyperlink" xfId="1" builtinId="8"/>
    <cellStyle name="Hyperlink 2" xfId="5" xr:uid="{33A39CA0-7161-4CB0-8ABB-F8D5DD887B1B}"/>
    <cellStyle name="Hyperlink 3" xfId="9" xr:uid="{5D0F2EF3-822B-443C-BBE3-18E42556E35E}"/>
    <cellStyle name="Normal" xfId="0" builtinId="0"/>
    <cellStyle name="Normal 2" xfId="4" xr:uid="{B660965D-94D9-46A0-946A-E12ADCAE097F}"/>
    <cellStyle name="Normal 3" xfId="6" xr:uid="{9A39A634-701E-4B19-BB67-C14655C23241}"/>
    <cellStyle name="Normal 4" xfId="8" xr:uid="{0BF01B16-5038-4807-B8B5-95D6BD91F145}"/>
  </cellStyles>
  <dxfs count="96">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
      <fill>
        <patternFill patternType="solid">
          <fgColor rgb="FFFFEBEE"/>
        </patternFill>
      </fill>
    </dxf>
    <dxf>
      <fill>
        <patternFill patternType="solid">
          <fgColor rgb="FFFFF3E0"/>
        </patternFill>
      </fill>
    </dxf>
    <dxf>
      <fill>
        <patternFill patternType="solid">
          <fgColor rgb="FFE8F5E9"/>
        </patternFill>
      </fill>
    </dxf>
    <dxf>
      <fill>
        <patternFill patternType="solid">
          <fgColor rgb="FFFFCDD2"/>
        </patternFill>
      </fill>
    </dxf>
  </dxfs>
  <tableStyles count="0" defaultTableStyle="TableStyleMedium2" defaultPivotStyle="PivotStyleLight16"/>
  <colors>
    <mruColors>
      <color rgb="FF005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4" name="Picture 3">
          <a:extLst>
            <a:ext uri="{FF2B5EF4-FFF2-40B4-BE49-F238E27FC236}">
              <a16:creationId xmlns:a16="http://schemas.microsoft.com/office/drawing/2014/main" id="{298103FE-FFB9-0D35-87B6-9A0F0FE23A02}"/>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8621" y="167640"/>
          <a:ext cx="929640" cy="10037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38098</xdr:colOff>
      <xdr:row>1</xdr:row>
      <xdr:rowOff>4233</xdr:rowOff>
    </xdr:from>
    <xdr:to>
      <xdr:col>2</xdr:col>
      <xdr:colOff>584199</xdr:colOff>
      <xdr:row>5</xdr:row>
      <xdr:rowOff>207024</xdr:rowOff>
    </xdr:to>
    <xdr:pic>
      <xdr:nvPicPr>
        <xdr:cNvPr id="4" name="Picture 3">
          <a:extLst>
            <a:ext uri="{FF2B5EF4-FFF2-40B4-BE49-F238E27FC236}">
              <a16:creationId xmlns:a16="http://schemas.microsoft.com/office/drawing/2014/main" id="{6EDF62A4-7521-5F96-479E-2BD69F40F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5" y="50800"/>
          <a:ext cx="1003301" cy="10833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122764</xdr:colOff>
      <xdr:row>1</xdr:row>
      <xdr:rowOff>8465</xdr:rowOff>
    </xdr:from>
    <xdr:to>
      <xdr:col>3</xdr:col>
      <xdr:colOff>94403</xdr:colOff>
      <xdr:row>6</xdr:row>
      <xdr:rowOff>82120</xdr:rowOff>
    </xdr:to>
    <xdr:pic>
      <xdr:nvPicPr>
        <xdr:cNvPr id="4" name="Picture 1">
          <a:extLst>
            <a:ext uri="{FF2B5EF4-FFF2-40B4-BE49-F238E27FC236}">
              <a16:creationId xmlns:a16="http://schemas.microsoft.com/office/drawing/2014/main" id="{75AB1023-92DA-4A31-8733-DA22764BF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1" y="55032"/>
          <a:ext cx="1087969" cy="11747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6EFDDE01-12A1-462B-AD2C-D902AE10516B}"/>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3E4A344F-DB95-4D5B-9789-C9D714BEF1CB}"/>
            </a:ext>
          </a:extLst>
        </xdr:cNvPr>
        <xdr:cNvPicPr>
          <a:picLocks noChangeAspect="1"/>
        </xdr:cNvPicPr>
      </xdr:nvPicPr>
      <xdr:blipFill>
        <a:blip xmlns:r="http://schemas.openxmlformats.org/officeDocument/2006/relationships" r:embed="rId3"/>
        <a:stretch>
          <a:fillRect/>
        </a:stretch>
      </xdr:blipFill>
      <xdr:spPr>
        <a:xfrm>
          <a:off x="5974080" y="6774180"/>
          <a:ext cx="1160145" cy="1546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A39AF005-169E-48C9-A5FD-BA03DFEC5DCF}"/>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34</xdr:row>
      <xdr:rowOff>251460</xdr:rowOff>
    </xdr:from>
    <xdr:to>
      <xdr:col>9</xdr:col>
      <xdr:colOff>481965</xdr:colOff>
      <xdr:row>53</xdr:row>
      <xdr:rowOff>83820</xdr:rowOff>
    </xdr:to>
    <xdr:pic>
      <xdr:nvPicPr>
        <xdr:cNvPr id="3" name="Picture 2">
          <a:extLst>
            <a:ext uri="{FF2B5EF4-FFF2-40B4-BE49-F238E27FC236}">
              <a16:creationId xmlns:a16="http://schemas.microsoft.com/office/drawing/2014/main" id="{23EA260F-CAC7-4A6A-9809-03898F7F1194}"/>
            </a:ext>
          </a:extLst>
        </xdr:cNvPr>
        <xdr:cNvPicPr>
          <a:picLocks noChangeAspect="1"/>
        </xdr:cNvPicPr>
      </xdr:nvPicPr>
      <xdr:blipFill>
        <a:blip xmlns:r="http://schemas.openxmlformats.org/officeDocument/2006/relationships" r:embed="rId3"/>
        <a:stretch>
          <a:fillRect/>
        </a:stretch>
      </xdr:blipFill>
      <xdr:spPr>
        <a:xfrm>
          <a:off x="5974080" y="6774180"/>
          <a:ext cx="1160145" cy="1546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7D5798B7-9F7F-4940-9280-45444B4F68C3}"/>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21</xdr:row>
      <xdr:rowOff>251460</xdr:rowOff>
    </xdr:from>
    <xdr:to>
      <xdr:col>9</xdr:col>
      <xdr:colOff>481965</xdr:colOff>
      <xdr:row>40</xdr:row>
      <xdr:rowOff>83820</xdr:rowOff>
    </xdr:to>
    <xdr:pic>
      <xdr:nvPicPr>
        <xdr:cNvPr id="3" name="Picture 2">
          <a:extLst>
            <a:ext uri="{FF2B5EF4-FFF2-40B4-BE49-F238E27FC236}">
              <a16:creationId xmlns:a16="http://schemas.microsoft.com/office/drawing/2014/main" id="{EB512F86-EF40-455F-B808-3A9B6939A9F6}"/>
            </a:ext>
          </a:extLst>
        </xdr:cNvPr>
        <xdr:cNvPicPr>
          <a:picLocks noChangeAspect="1"/>
        </xdr:cNvPicPr>
      </xdr:nvPicPr>
      <xdr:blipFill>
        <a:blip xmlns:r="http://schemas.openxmlformats.org/officeDocument/2006/relationships" r:embed="rId3"/>
        <a:stretch>
          <a:fillRect/>
        </a:stretch>
      </xdr:blipFill>
      <xdr:spPr>
        <a:xfrm>
          <a:off x="5974080" y="6377940"/>
          <a:ext cx="1160145" cy="1546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7838E92E-3234-4C2D-B682-6ACB5581D61A}"/>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175260</xdr:colOff>
      <xdr:row>32</xdr:row>
      <xdr:rowOff>274320</xdr:rowOff>
    </xdr:from>
    <xdr:to>
      <xdr:col>9</xdr:col>
      <xdr:colOff>489585</xdr:colOff>
      <xdr:row>51</xdr:row>
      <xdr:rowOff>106680</xdr:rowOff>
    </xdr:to>
    <xdr:pic>
      <xdr:nvPicPr>
        <xdr:cNvPr id="3" name="Picture 2">
          <a:extLst>
            <a:ext uri="{FF2B5EF4-FFF2-40B4-BE49-F238E27FC236}">
              <a16:creationId xmlns:a16="http://schemas.microsoft.com/office/drawing/2014/main" id="{B32391C2-0CB7-4B47-9D76-05B51AF91678}"/>
            </a:ext>
          </a:extLst>
        </xdr:cNvPr>
        <xdr:cNvPicPr>
          <a:picLocks noChangeAspect="1"/>
        </xdr:cNvPicPr>
      </xdr:nvPicPr>
      <xdr:blipFill>
        <a:blip xmlns:r="http://schemas.openxmlformats.org/officeDocument/2006/relationships" r:embed="rId3"/>
        <a:stretch>
          <a:fillRect/>
        </a:stretch>
      </xdr:blipFill>
      <xdr:spPr>
        <a:xfrm>
          <a:off x="5981700" y="5608320"/>
          <a:ext cx="1160145" cy="15468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B1AC2C89-7D47-49B0-BB3C-B33556331857}"/>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44</xdr:row>
      <xdr:rowOff>251460</xdr:rowOff>
    </xdr:from>
    <xdr:to>
      <xdr:col>9</xdr:col>
      <xdr:colOff>481965</xdr:colOff>
      <xdr:row>63</xdr:row>
      <xdr:rowOff>83820</xdr:rowOff>
    </xdr:to>
    <xdr:pic>
      <xdr:nvPicPr>
        <xdr:cNvPr id="3" name="Picture 2">
          <a:extLst>
            <a:ext uri="{FF2B5EF4-FFF2-40B4-BE49-F238E27FC236}">
              <a16:creationId xmlns:a16="http://schemas.microsoft.com/office/drawing/2014/main" id="{417A04E6-5EE6-4B61-95E6-01E602DB37FB}"/>
            </a:ext>
          </a:extLst>
        </xdr:cNvPr>
        <xdr:cNvPicPr>
          <a:picLocks noChangeAspect="1"/>
        </xdr:cNvPicPr>
      </xdr:nvPicPr>
      <xdr:blipFill>
        <a:blip xmlns:r="http://schemas.openxmlformats.org/officeDocument/2006/relationships" r:embed="rId3"/>
        <a:stretch>
          <a:fillRect/>
        </a:stretch>
      </xdr:blipFill>
      <xdr:spPr>
        <a:xfrm>
          <a:off x="5974080" y="5585460"/>
          <a:ext cx="1160145" cy="15468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1A99D76E-DEB5-4061-8634-93DA2A89DA6C}"/>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7FAEDB20-5882-40D1-B4A3-4C992DCA12AE}"/>
            </a:ext>
          </a:extLst>
        </xdr:cNvPr>
        <xdr:cNvPicPr>
          <a:picLocks noChangeAspect="1"/>
        </xdr:cNvPicPr>
      </xdr:nvPicPr>
      <xdr:blipFill>
        <a:blip xmlns:r="http://schemas.openxmlformats.org/officeDocument/2006/relationships" r:embed="rId3"/>
        <a:stretch>
          <a:fillRect/>
        </a:stretch>
      </xdr:blipFill>
      <xdr:spPr>
        <a:xfrm>
          <a:off x="5974080" y="5585460"/>
          <a:ext cx="1160145" cy="15468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24D25786-010E-46D8-9DF2-5C599FD13B4D}"/>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FB10B4D5-A0BD-406D-82B2-C90312CECD5D}"/>
            </a:ext>
          </a:extLst>
        </xdr:cNvPr>
        <xdr:cNvPicPr>
          <a:picLocks noChangeAspect="1"/>
        </xdr:cNvPicPr>
      </xdr:nvPicPr>
      <xdr:blipFill>
        <a:blip xmlns:r="http://schemas.openxmlformats.org/officeDocument/2006/relationships" r:embed="rId3"/>
        <a:stretch>
          <a:fillRect/>
        </a:stretch>
      </xdr:blipFill>
      <xdr:spPr>
        <a:xfrm>
          <a:off x="5974080" y="5585460"/>
          <a:ext cx="1160145" cy="15468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77F50B9B-900D-42FB-93E3-548FDC749856}"/>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C7B7972C-BB29-4345-A90A-D324A17EB312}"/>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65F25644-DDA8-45E3-BF40-86591114B989}"/>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F6649017-4431-4D02-853E-90484737B798}"/>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0CC3372F-2C24-42D3-82EC-42F683CA3526}"/>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7B1987EB-79BE-42CC-B974-49879D1A517B}"/>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twoCellAnchor>
    <xdr:from>
      <xdr:col>0</xdr:col>
      <xdr:colOff>99060</xdr:colOff>
      <xdr:row>14</xdr:row>
      <xdr:rowOff>121920</xdr:rowOff>
    </xdr:from>
    <xdr:to>
      <xdr:col>14</xdr:col>
      <xdr:colOff>1249680</xdr:colOff>
      <xdr:row>18</xdr:row>
      <xdr:rowOff>38100</xdr:rowOff>
    </xdr:to>
    <xdr:cxnSp macro="">
      <xdr:nvCxnSpPr>
        <xdr:cNvPr id="5" name="Straight Connector 4">
          <a:extLst>
            <a:ext uri="{FF2B5EF4-FFF2-40B4-BE49-F238E27FC236}">
              <a16:creationId xmlns:a16="http://schemas.microsoft.com/office/drawing/2014/main" id="{39442CB7-D87C-4D99-2E95-DC93E5598A5C}"/>
            </a:ext>
          </a:extLst>
        </xdr:cNvPr>
        <xdr:cNvCxnSpPr/>
      </xdr:nvCxnSpPr>
      <xdr:spPr>
        <a:xfrm>
          <a:off x="99060" y="3672840"/>
          <a:ext cx="11010900" cy="7086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A738F9E2-B986-4DE9-90D5-757375DD9DAA}"/>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3435139A-B0AB-4CA2-A062-F8E6111AF4FE}"/>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twoCellAnchor>
    <xdr:from>
      <xdr:col>1</xdr:col>
      <xdr:colOff>160020</xdr:colOff>
      <xdr:row>14</xdr:row>
      <xdr:rowOff>114300</xdr:rowOff>
    </xdr:from>
    <xdr:to>
      <xdr:col>14</xdr:col>
      <xdr:colOff>1356360</xdr:colOff>
      <xdr:row>18</xdr:row>
      <xdr:rowOff>114300</xdr:rowOff>
    </xdr:to>
    <xdr:cxnSp macro="">
      <xdr:nvCxnSpPr>
        <xdr:cNvPr id="5" name="Straight Connector 4">
          <a:extLst>
            <a:ext uri="{FF2B5EF4-FFF2-40B4-BE49-F238E27FC236}">
              <a16:creationId xmlns:a16="http://schemas.microsoft.com/office/drawing/2014/main" id="{3D17081F-06FF-14C0-97DF-FF945AFC7CF5}"/>
            </a:ext>
          </a:extLst>
        </xdr:cNvPr>
        <xdr:cNvCxnSpPr/>
      </xdr:nvCxnSpPr>
      <xdr:spPr>
        <a:xfrm>
          <a:off x="441960" y="3665220"/>
          <a:ext cx="10774680" cy="7924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45207EF1-AA5E-42DA-BC17-BF29318FDE14}"/>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A14B3BBA-CB7C-406A-BD4B-84C5573B4A0A}"/>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F3E055E4-6891-4B18-B42B-011FE08961A7}"/>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40</xdr:row>
      <xdr:rowOff>251460</xdr:rowOff>
    </xdr:from>
    <xdr:to>
      <xdr:col>9</xdr:col>
      <xdr:colOff>481965</xdr:colOff>
      <xdr:row>59</xdr:row>
      <xdr:rowOff>83820</xdr:rowOff>
    </xdr:to>
    <xdr:pic>
      <xdr:nvPicPr>
        <xdr:cNvPr id="3" name="Picture 2">
          <a:extLst>
            <a:ext uri="{FF2B5EF4-FFF2-40B4-BE49-F238E27FC236}">
              <a16:creationId xmlns:a16="http://schemas.microsoft.com/office/drawing/2014/main" id="{7E84D46F-013A-446D-9D58-E713440C9E07}"/>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041F127B-8856-4DEC-8C4B-B8B15DFA2133}"/>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39</xdr:row>
      <xdr:rowOff>251460</xdr:rowOff>
    </xdr:from>
    <xdr:to>
      <xdr:col>9</xdr:col>
      <xdr:colOff>481965</xdr:colOff>
      <xdr:row>58</xdr:row>
      <xdr:rowOff>83820</xdr:rowOff>
    </xdr:to>
    <xdr:pic>
      <xdr:nvPicPr>
        <xdr:cNvPr id="3" name="Picture 2">
          <a:extLst>
            <a:ext uri="{FF2B5EF4-FFF2-40B4-BE49-F238E27FC236}">
              <a16:creationId xmlns:a16="http://schemas.microsoft.com/office/drawing/2014/main" id="{BE17D386-2419-4AAC-9CB3-B9C26ECE5385}"/>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E45D104A-1B60-4A8C-A254-7C31BE217037}"/>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5AB344A5-4A8A-4007-8361-8CEB613EA219}"/>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102871</xdr:colOff>
      <xdr:row>0</xdr:row>
      <xdr:rowOff>167640</xdr:rowOff>
    </xdr:from>
    <xdr:to>
      <xdr:col>1</xdr:col>
      <xdr:colOff>1032511</xdr:colOff>
      <xdr:row>3</xdr:row>
      <xdr:rowOff>340846</xdr:rowOff>
    </xdr:to>
    <xdr:pic>
      <xdr:nvPicPr>
        <xdr:cNvPr id="2" name="Picture 1">
          <a:extLst>
            <a:ext uri="{FF2B5EF4-FFF2-40B4-BE49-F238E27FC236}">
              <a16:creationId xmlns:a16="http://schemas.microsoft.com/office/drawing/2014/main" id="{FA001BDD-1C58-4E5C-AA58-D59209F2F511}"/>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84811" y="167640"/>
          <a:ext cx="929640" cy="996166"/>
        </a:xfrm>
        <a:prstGeom prst="rect">
          <a:avLst/>
        </a:prstGeom>
      </xdr:spPr>
    </xdr:pic>
    <xdr:clientData/>
  </xdr:twoCellAnchor>
  <xdr:twoCellAnchor editAs="oneCell">
    <xdr:from>
      <xdr:col>8</xdr:col>
      <xdr:colOff>167640</xdr:colOff>
      <xdr:row>32</xdr:row>
      <xdr:rowOff>251460</xdr:rowOff>
    </xdr:from>
    <xdr:to>
      <xdr:col>9</xdr:col>
      <xdr:colOff>481965</xdr:colOff>
      <xdr:row>51</xdr:row>
      <xdr:rowOff>83820</xdr:rowOff>
    </xdr:to>
    <xdr:pic>
      <xdr:nvPicPr>
        <xdr:cNvPr id="3" name="Picture 2">
          <a:extLst>
            <a:ext uri="{FF2B5EF4-FFF2-40B4-BE49-F238E27FC236}">
              <a16:creationId xmlns:a16="http://schemas.microsoft.com/office/drawing/2014/main" id="{DFEE05E1-BCF2-4425-A5E6-9FD58F314448}"/>
            </a:ext>
          </a:extLst>
        </xdr:cNvPr>
        <xdr:cNvPicPr>
          <a:picLocks noChangeAspect="1"/>
        </xdr:cNvPicPr>
      </xdr:nvPicPr>
      <xdr:blipFill>
        <a:blip xmlns:r="http://schemas.openxmlformats.org/officeDocument/2006/relationships" r:embed="rId3"/>
        <a:stretch>
          <a:fillRect/>
        </a:stretch>
      </xdr:blipFill>
      <xdr:spPr>
        <a:xfrm>
          <a:off x="6263640" y="5387340"/>
          <a:ext cx="1160145" cy="1546860"/>
        </a:xfrm>
        <a:prstGeom prst="rect">
          <a:avLst/>
        </a:prstGeom>
      </xdr:spPr>
    </xdr:pic>
    <xdr:clientData/>
  </xdr:twoCellAnchor>
  <xdr:twoCellAnchor>
    <xdr:from>
      <xdr:col>0</xdr:col>
      <xdr:colOff>182880</xdr:colOff>
      <xdr:row>13</xdr:row>
      <xdr:rowOff>167640</xdr:rowOff>
    </xdr:from>
    <xdr:to>
      <xdr:col>14</xdr:col>
      <xdr:colOff>1409700</xdr:colOff>
      <xdr:row>18</xdr:row>
      <xdr:rowOff>38100</xdr:rowOff>
    </xdr:to>
    <xdr:cxnSp macro="">
      <xdr:nvCxnSpPr>
        <xdr:cNvPr id="7" name="Straight Connector 6">
          <a:extLst>
            <a:ext uri="{FF2B5EF4-FFF2-40B4-BE49-F238E27FC236}">
              <a16:creationId xmlns:a16="http://schemas.microsoft.com/office/drawing/2014/main" id="{C39C2A18-E675-0BCD-0F88-1D9AC70621F8}"/>
            </a:ext>
          </a:extLst>
        </xdr:cNvPr>
        <xdr:cNvCxnSpPr/>
      </xdr:nvCxnSpPr>
      <xdr:spPr>
        <a:xfrm>
          <a:off x="182880" y="3520440"/>
          <a:ext cx="11087100" cy="8610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158900</xdr:colOff>
      <xdr:row>0</xdr:row>
      <xdr:rowOff>145228</xdr:rowOff>
    </xdr:from>
    <xdr:to>
      <xdr:col>1</xdr:col>
      <xdr:colOff>1019735</xdr:colOff>
      <xdr:row>3</xdr:row>
      <xdr:rowOff>318434</xdr:rowOff>
    </xdr:to>
    <xdr:pic>
      <xdr:nvPicPr>
        <xdr:cNvPr id="2" name="Picture 1">
          <a:extLst>
            <a:ext uri="{FF2B5EF4-FFF2-40B4-BE49-F238E27FC236}">
              <a16:creationId xmlns:a16="http://schemas.microsoft.com/office/drawing/2014/main" id="{C3C1ABC2-8C48-484F-8B39-B4B6F2639C81}"/>
            </a:ext>
          </a:extLst>
        </xdr:cNvPr>
        <xdr:cNvPicPr>
          <a:picLocks noChangeAspect="1"/>
        </xdr:cNvPicPr>
      </xdr:nvPicPr>
      <xdr:blipFill>
        <a:blip xmlns:r="http://schemas.openxmlformats.org/officeDocument/2006/relationships" r:embed="rId1" cstate="print">
          <a:alphaModFix amt="85000"/>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158900" y="145228"/>
          <a:ext cx="1140982" cy="1013647"/>
        </a:xfrm>
        <a:prstGeom prst="rect">
          <a:avLst/>
        </a:prstGeom>
      </xdr:spPr>
    </xdr:pic>
    <xdr:clientData/>
  </xdr:twoCellAnchor>
  <xdr:twoCellAnchor editAs="oneCell">
    <xdr:from>
      <xdr:col>8</xdr:col>
      <xdr:colOff>167640</xdr:colOff>
      <xdr:row>35</xdr:row>
      <xdr:rowOff>251460</xdr:rowOff>
    </xdr:from>
    <xdr:to>
      <xdr:col>9</xdr:col>
      <xdr:colOff>481965</xdr:colOff>
      <xdr:row>54</xdr:row>
      <xdr:rowOff>83821</xdr:rowOff>
    </xdr:to>
    <xdr:pic>
      <xdr:nvPicPr>
        <xdr:cNvPr id="3" name="Picture 2">
          <a:extLst>
            <a:ext uri="{FF2B5EF4-FFF2-40B4-BE49-F238E27FC236}">
              <a16:creationId xmlns:a16="http://schemas.microsoft.com/office/drawing/2014/main" id="{BB22C7A6-8B24-41D9-A4F0-998D8D674FDD}"/>
            </a:ext>
          </a:extLst>
        </xdr:cNvPr>
        <xdr:cNvPicPr>
          <a:picLocks noChangeAspect="1"/>
        </xdr:cNvPicPr>
      </xdr:nvPicPr>
      <xdr:blipFill>
        <a:blip xmlns:r="http://schemas.openxmlformats.org/officeDocument/2006/relationships" r:embed="rId3"/>
        <a:stretch>
          <a:fillRect/>
        </a:stretch>
      </xdr:blipFill>
      <xdr:spPr>
        <a:xfrm>
          <a:off x="6101715" y="5442585"/>
          <a:ext cx="1133475" cy="15468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c.com.vn/nhom-6061-cong-ty-ec-chuyen-cung-cap-tam-nh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onnt@gtam.vn"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sonnt@gtam.vn"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gurmeet.philora@savethechildre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B094-09EA-4561-A30B-885793A1E43A}">
  <sheetPr codeName="Sheet2"/>
  <dimension ref="A1:Q55"/>
  <sheetViews>
    <sheetView view="pageBreakPreview" zoomScaleNormal="100" zoomScaleSheetLayoutView="100" workbookViewId="0">
      <selection activeCell="O16" sqref="O16"/>
    </sheetView>
  </sheetViews>
  <sheetFormatPr defaultColWidth="8.5703125" defaultRowHeight="15.75" x14ac:dyDescent="0.2"/>
  <cols>
    <col min="1" max="1" width="4.140625" style="171" customWidth="1"/>
    <col min="2" max="2" width="22.85546875" style="171" customWidth="1"/>
    <col min="3" max="3" width="0.7109375" style="171" hidden="1" customWidth="1"/>
    <col min="4" max="4" width="29"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52/PRD-MRF/0526</v>
      </c>
      <c r="P2" s="277">
        <v>52</v>
      </c>
      <c r="Q2" s="278"/>
    </row>
    <row r="3" spans="1:17" ht="31.5" x14ac:dyDescent="0.2">
      <c r="A3" s="269"/>
      <c r="B3" s="270"/>
      <c r="C3" s="270"/>
      <c r="D3" s="271" t="s">
        <v>166</v>
      </c>
      <c r="E3" s="276"/>
      <c r="F3" s="272"/>
      <c r="G3" s="272"/>
      <c r="H3" s="272"/>
      <c r="I3" s="272"/>
      <c r="J3" s="272"/>
      <c r="K3" s="273"/>
      <c r="L3" s="174"/>
      <c r="M3" s="174"/>
      <c r="N3" s="274" t="s">
        <v>167</v>
      </c>
      <c r="O3" s="279">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
      <c r="A6" s="339" t="s">
        <v>169</v>
      </c>
      <c r="B6" s="323"/>
      <c r="C6" s="323"/>
      <c r="D6" s="324"/>
      <c r="E6" s="325"/>
      <c r="F6" s="325"/>
      <c r="G6" s="325"/>
      <c r="H6" s="325"/>
      <c r="I6" s="325"/>
      <c r="J6" s="325"/>
      <c r="K6" s="325"/>
      <c r="L6" s="325"/>
      <c r="M6" s="325"/>
      <c r="N6" s="325"/>
      <c r="O6" s="326"/>
    </row>
    <row r="7" spans="1:17" x14ac:dyDescent="0.2">
      <c r="A7" s="339" t="s">
        <v>171</v>
      </c>
      <c r="B7" s="323"/>
      <c r="C7" s="323"/>
      <c r="D7" s="329"/>
      <c r="E7" s="328"/>
      <c r="F7" s="328"/>
      <c r="G7" s="328"/>
      <c r="H7" s="328"/>
      <c r="I7" s="328"/>
      <c r="J7" s="328"/>
      <c r="K7" s="328"/>
      <c r="L7" s="328"/>
      <c r="M7" s="328"/>
      <c r="N7" s="328"/>
      <c r="O7" s="328"/>
    </row>
    <row r="8" spans="1:17" x14ac:dyDescent="0.2">
      <c r="A8" s="339" t="s">
        <v>170</v>
      </c>
      <c r="B8" s="323"/>
      <c r="C8" s="323"/>
      <c r="D8" s="329"/>
      <c r="E8" s="328"/>
      <c r="F8" s="328"/>
      <c r="G8" s="328"/>
      <c r="H8" s="328"/>
      <c r="I8" s="328"/>
      <c r="J8" s="328"/>
      <c r="K8" s="328"/>
      <c r="L8" s="328"/>
      <c r="M8" s="328"/>
      <c r="N8" s="328"/>
      <c r="O8" s="328"/>
    </row>
    <row r="9" spans="1:17" x14ac:dyDescent="0.2">
      <c r="A9" s="339" t="s">
        <v>172</v>
      </c>
      <c r="B9" s="323"/>
      <c r="C9" s="323"/>
      <c r="D9" s="340"/>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ht="16.5" x14ac:dyDescent="0.2">
      <c r="A13" s="176">
        <v>1</v>
      </c>
      <c r="B13" s="284" t="s">
        <v>330</v>
      </c>
      <c r="C13" s="263"/>
      <c r="D13" s="263" t="s">
        <v>331</v>
      </c>
      <c r="E13" s="176" t="s">
        <v>323</v>
      </c>
      <c r="F13" s="176">
        <v>2</v>
      </c>
      <c r="G13" s="176">
        <v>0</v>
      </c>
      <c r="H13" s="176">
        <v>2</v>
      </c>
      <c r="I13" s="177">
        <f ca="1">TODAY()</f>
        <v>46147</v>
      </c>
      <c r="J13" s="176" t="s">
        <v>189</v>
      </c>
      <c r="K13" s="176" t="s">
        <v>193</v>
      </c>
      <c r="L13" s="178"/>
      <c r="M13" s="178" t="str">
        <f t="shared" ref="M13:M32" si="0">IF(AND(ISNUMBER(F13),ISNUMBER(L13)),F13*L13,"")</f>
        <v/>
      </c>
      <c r="N13" s="176"/>
      <c r="O13" s="280" t="s">
        <v>191</v>
      </c>
    </row>
    <row r="14" spans="1:17" x14ac:dyDescent="0.2">
      <c r="A14" s="179">
        <v>2</v>
      </c>
      <c r="B14" s="264"/>
      <c r="C14" s="264"/>
      <c r="D14" s="264"/>
      <c r="E14" s="179"/>
      <c r="F14" s="179"/>
      <c r="G14" s="179"/>
      <c r="H14" s="179"/>
      <c r="I14" s="180"/>
      <c r="J14" s="179" t="s">
        <v>192</v>
      </c>
      <c r="K14" s="179" t="s">
        <v>193</v>
      </c>
      <c r="L14" s="181"/>
      <c r="M14" s="181" t="str">
        <f t="shared" si="0"/>
        <v/>
      </c>
      <c r="N14" s="179"/>
      <c r="O14" s="264"/>
    </row>
    <row r="15" spans="1:17" x14ac:dyDescent="0.2">
      <c r="A15" s="176">
        <v>3</v>
      </c>
      <c r="B15" s="263"/>
      <c r="C15" s="263"/>
      <c r="D15" s="263"/>
      <c r="E15" s="176"/>
      <c r="F15" s="176"/>
      <c r="G15" s="176"/>
      <c r="H15" s="176"/>
      <c r="I15" s="177"/>
      <c r="J15" s="176" t="s">
        <v>194</v>
      </c>
      <c r="K15" s="176" t="s">
        <v>195</v>
      </c>
      <c r="L15" s="178"/>
      <c r="M15" s="178" t="str">
        <f t="shared" si="0"/>
        <v/>
      </c>
      <c r="N15" s="176"/>
      <c r="O15" s="263"/>
    </row>
    <row r="16" spans="1:17" x14ac:dyDescent="0.2">
      <c r="A16" s="179">
        <v>4</v>
      </c>
      <c r="B16" s="264"/>
      <c r="C16" s="264"/>
      <c r="D16" s="264"/>
      <c r="E16" s="179"/>
      <c r="F16" s="179"/>
      <c r="G16" s="179"/>
      <c r="H16" s="179"/>
      <c r="I16" s="180"/>
      <c r="J16" s="179"/>
      <c r="K16" s="179"/>
      <c r="L16" s="181"/>
      <c r="M16" s="181" t="str">
        <f t="shared" si="0"/>
        <v/>
      </c>
      <c r="N16" s="179"/>
      <c r="O16" s="264"/>
    </row>
    <row r="17" spans="1:15" x14ac:dyDescent="0.2">
      <c r="A17" s="176">
        <v>5</v>
      </c>
      <c r="B17" s="263"/>
      <c r="C17" s="263"/>
      <c r="D17" s="263"/>
      <c r="E17" s="176"/>
      <c r="F17" s="176"/>
      <c r="G17" s="176"/>
      <c r="H17" s="176"/>
      <c r="I17" s="177"/>
      <c r="J17" s="176"/>
      <c r="K17" s="176"/>
      <c r="L17" s="178"/>
      <c r="M17" s="178" t="str">
        <f t="shared" si="0"/>
        <v/>
      </c>
      <c r="N17" s="176"/>
      <c r="O17" s="263"/>
    </row>
    <row r="18" spans="1:15" x14ac:dyDescent="0.2">
      <c r="A18" s="179">
        <v>6</v>
      </c>
      <c r="B18" s="264"/>
      <c r="C18" s="264"/>
      <c r="D18" s="264"/>
      <c r="E18" s="179"/>
      <c r="F18" s="179"/>
      <c r="G18" s="179"/>
      <c r="H18" s="179"/>
      <c r="I18" s="180"/>
      <c r="J18" s="179"/>
      <c r="K18" s="179"/>
      <c r="L18" s="181"/>
      <c r="M18" s="181" t="str">
        <f t="shared" si="0"/>
        <v/>
      </c>
      <c r="N18" s="179"/>
      <c r="O18" s="264"/>
    </row>
    <row r="19" spans="1:15" x14ac:dyDescent="0.2">
      <c r="A19" s="176">
        <v>7</v>
      </c>
      <c r="B19" s="263"/>
      <c r="C19" s="263"/>
      <c r="D19" s="263"/>
      <c r="E19" s="176"/>
      <c r="F19" s="176"/>
      <c r="G19" s="176"/>
      <c r="H19" s="176"/>
      <c r="I19" s="177"/>
      <c r="J19" s="176"/>
      <c r="K19" s="176"/>
      <c r="L19" s="178"/>
      <c r="M19" s="178" t="str">
        <f t="shared" si="0"/>
        <v/>
      </c>
      <c r="N19" s="176"/>
      <c r="O19" s="263"/>
    </row>
    <row r="20" spans="1:15" x14ac:dyDescent="0.2">
      <c r="A20" s="179">
        <v>8</v>
      </c>
      <c r="B20" s="264"/>
      <c r="C20" s="264"/>
      <c r="D20" s="264"/>
      <c r="E20" s="179"/>
      <c r="F20" s="179"/>
      <c r="G20" s="179"/>
      <c r="H20" s="179"/>
      <c r="I20" s="180"/>
      <c r="J20" s="179"/>
      <c r="K20" s="179"/>
      <c r="L20" s="181"/>
      <c r="M20" s="181" t="str">
        <f t="shared" si="0"/>
        <v/>
      </c>
      <c r="N20" s="179"/>
      <c r="O20" s="264"/>
    </row>
    <row r="21" spans="1:15" x14ac:dyDescent="0.2">
      <c r="A21" s="176">
        <v>9</v>
      </c>
      <c r="B21" s="263"/>
      <c r="C21" s="263"/>
      <c r="D21" s="263"/>
      <c r="E21" s="176"/>
      <c r="F21" s="176"/>
      <c r="G21" s="176"/>
      <c r="H21" s="176"/>
      <c r="I21" s="177"/>
      <c r="J21" s="176"/>
      <c r="K21" s="176"/>
      <c r="L21" s="178"/>
      <c r="M21" s="178" t="str">
        <f t="shared" si="0"/>
        <v/>
      </c>
      <c r="N21" s="176"/>
      <c r="O21" s="263"/>
    </row>
    <row r="22" spans="1:15" x14ac:dyDescent="0.2">
      <c r="A22" s="179">
        <v>10</v>
      </c>
      <c r="B22" s="264"/>
      <c r="C22" s="264"/>
      <c r="D22" s="264"/>
      <c r="E22" s="179"/>
      <c r="F22" s="179"/>
      <c r="G22" s="179"/>
      <c r="H22" s="179"/>
      <c r="I22" s="180"/>
      <c r="J22" s="179"/>
      <c r="K22" s="179"/>
      <c r="L22" s="181"/>
      <c r="M22" s="181" t="str">
        <f t="shared" si="0"/>
        <v/>
      </c>
      <c r="N22" s="179"/>
      <c r="O22" s="264"/>
    </row>
    <row r="23" spans="1:15" hidden="1" x14ac:dyDescent="0.2">
      <c r="A23" s="176">
        <v>11</v>
      </c>
      <c r="B23" s="263"/>
      <c r="C23" s="263"/>
      <c r="D23" s="263"/>
      <c r="E23" s="176"/>
      <c r="F23" s="176"/>
      <c r="G23" s="176"/>
      <c r="H23" s="176"/>
      <c r="I23" s="177"/>
      <c r="J23" s="176"/>
      <c r="K23" s="176"/>
      <c r="L23" s="178"/>
      <c r="M23" s="178" t="str">
        <f t="shared" si="0"/>
        <v/>
      </c>
      <c r="N23" s="176"/>
      <c r="O23" s="263"/>
    </row>
    <row r="24" spans="1:15" hidden="1" x14ac:dyDescent="0.2">
      <c r="A24" s="179">
        <v>12</v>
      </c>
      <c r="B24" s="264"/>
      <c r="C24" s="264"/>
      <c r="D24" s="264"/>
      <c r="E24" s="179"/>
      <c r="F24" s="179"/>
      <c r="G24" s="179"/>
      <c r="H24" s="179"/>
      <c r="I24" s="180"/>
      <c r="J24" s="179"/>
      <c r="K24" s="179"/>
      <c r="L24" s="181"/>
      <c r="M24" s="181" t="str">
        <f t="shared" si="0"/>
        <v/>
      </c>
      <c r="N24" s="179"/>
      <c r="O24" s="264"/>
    </row>
    <row r="25" spans="1:15" hidden="1" x14ac:dyDescent="0.2">
      <c r="A25" s="176">
        <v>13</v>
      </c>
      <c r="B25" s="263"/>
      <c r="C25" s="263"/>
      <c r="D25" s="263"/>
      <c r="E25" s="176"/>
      <c r="F25" s="176"/>
      <c r="G25" s="176"/>
      <c r="H25" s="176"/>
      <c r="I25" s="177"/>
      <c r="J25" s="176"/>
      <c r="K25" s="176"/>
      <c r="L25" s="178"/>
      <c r="M25" s="178" t="str">
        <f t="shared" si="0"/>
        <v/>
      </c>
      <c r="N25" s="176"/>
      <c r="O25" s="263"/>
    </row>
    <row r="26" spans="1:15" hidden="1" x14ac:dyDescent="0.2">
      <c r="A26" s="179">
        <v>14</v>
      </c>
      <c r="B26" s="264"/>
      <c r="C26" s="264"/>
      <c r="D26" s="264"/>
      <c r="E26" s="179"/>
      <c r="F26" s="179"/>
      <c r="G26" s="179"/>
      <c r="H26" s="179"/>
      <c r="I26" s="180"/>
      <c r="J26" s="179"/>
      <c r="K26" s="179"/>
      <c r="L26" s="181"/>
      <c r="M26" s="181" t="str">
        <f t="shared" si="0"/>
        <v/>
      </c>
      <c r="N26" s="179"/>
      <c r="O26" s="264"/>
    </row>
    <row r="27" spans="1:15" hidden="1" x14ac:dyDescent="0.2">
      <c r="A27" s="176">
        <v>15</v>
      </c>
      <c r="B27" s="263"/>
      <c r="C27" s="263"/>
      <c r="D27" s="263"/>
      <c r="E27" s="176"/>
      <c r="F27" s="176"/>
      <c r="G27" s="176"/>
      <c r="H27" s="176"/>
      <c r="I27" s="177"/>
      <c r="J27" s="176"/>
      <c r="K27" s="176"/>
      <c r="L27" s="178"/>
      <c r="M27" s="178" t="str">
        <f t="shared" si="0"/>
        <v/>
      </c>
      <c r="N27" s="176"/>
      <c r="O27" s="263"/>
    </row>
    <row r="28" spans="1:15" hidden="1" x14ac:dyDescent="0.2">
      <c r="A28" s="179">
        <v>16</v>
      </c>
      <c r="B28" s="264"/>
      <c r="C28" s="264"/>
      <c r="D28" s="264"/>
      <c r="E28" s="179"/>
      <c r="F28" s="179"/>
      <c r="G28" s="179"/>
      <c r="H28" s="179"/>
      <c r="I28" s="180"/>
      <c r="J28" s="179"/>
      <c r="K28" s="179"/>
      <c r="L28" s="181"/>
      <c r="M28" s="181" t="str">
        <f t="shared" si="0"/>
        <v/>
      </c>
      <c r="N28" s="179"/>
      <c r="O28" s="264"/>
    </row>
    <row r="29" spans="1:15" hidden="1" x14ac:dyDescent="0.2">
      <c r="A29" s="176">
        <v>17</v>
      </c>
      <c r="B29" s="263"/>
      <c r="C29" s="263"/>
      <c r="D29" s="263"/>
      <c r="E29" s="176"/>
      <c r="F29" s="176"/>
      <c r="G29" s="176"/>
      <c r="H29" s="176"/>
      <c r="I29" s="177"/>
      <c r="J29" s="176"/>
      <c r="K29" s="176"/>
      <c r="L29" s="178"/>
      <c r="M29" s="178" t="str">
        <f t="shared" si="0"/>
        <v/>
      </c>
      <c r="N29" s="176"/>
      <c r="O29" s="263"/>
    </row>
    <row r="30" spans="1:15" hidden="1" x14ac:dyDescent="0.2">
      <c r="A30" s="179">
        <v>18</v>
      </c>
      <c r="B30" s="264"/>
      <c r="C30" s="264"/>
      <c r="D30" s="264"/>
      <c r="E30" s="179"/>
      <c r="F30" s="179"/>
      <c r="G30" s="179"/>
      <c r="H30" s="179"/>
      <c r="I30" s="180"/>
      <c r="J30" s="179"/>
      <c r="K30" s="179"/>
      <c r="L30" s="181"/>
      <c r="M30" s="181" t="str">
        <f t="shared" si="0"/>
        <v/>
      </c>
      <c r="N30" s="179"/>
      <c r="O30" s="264"/>
    </row>
    <row r="31" spans="1:15" hidden="1" x14ac:dyDescent="0.2">
      <c r="A31" s="176">
        <v>19</v>
      </c>
      <c r="B31" s="263"/>
      <c r="C31" s="263"/>
      <c r="D31" s="263"/>
      <c r="E31" s="176"/>
      <c r="F31" s="176"/>
      <c r="G31" s="176"/>
      <c r="H31" s="176"/>
      <c r="I31" s="177"/>
      <c r="J31" s="176"/>
      <c r="K31" s="176"/>
      <c r="L31" s="178"/>
      <c r="M31" s="178" t="str">
        <f t="shared" si="0"/>
        <v/>
      </c>
      <c r="N31" s="176"/>
      <c r="O31" s="263"/>
    </row>
    <row r="32" spans="1:15" hidden="1" x14ac:dyDescent="0.2">
      <c r="A32" s="179">
        <v>20</v>
      </c>
      <c r="B32" s="264"/>
      <c r="C32" s="264"/>
      <c r="D32" s="264"/>
      <c r="E32" s="179"/>
      <c r="F32" s="179"/>
      <c r="G32" s="179"/>
      <c r="H32" s="179"/>
      <c r="I32" s="180"/>
      <c r="J32" s="179"/>
      <c r="K32" s="179"/>
      <c r="L32" s="181"/>
      <c r="M32" s="181" t="str">
        <f t="shared" si="0"/>
        <v/>
      </c>
      <c r="N32" s="179"/>
      <c r="O32" s="264"/>
    </row>
    <row r="34" spans="1:15" x14ac:dyDescent="0.2">
      <c r="A34" s="333" t="s">
        <v>196</v>
      </c>
      <c r="B34" s="334"/>
      <c r="C34" s="334"/>
      <c r="D34" s="334"/>
      <c r="E34" s="334"/>
      <c r="F34" s="334"/>
      <c r="G34" s="334"/>
      <c r="H34" s="334"/>
      <c r="I34" s="334"/>
      <c r="J34" s="334"/>
      <c r="K34" s="334"/>
      <c r="L34" s="334"/>
      <c r="M34" s="334"/>
      <c r="N34" s="334"/>
      <c r="O34" s="334"/>
    </row>
    <row r="35" spans="1:15" x14ac:dyDescent="0.2">
      <c r="A35" s="335" t="s">
        <v>197</v>
      </c>
      <c r="B35" s="334"/>
      <c r="C35" s="334"/>
      <c r="D35" s="335" t="s">
        <v>198</v>
      </c>
      <c r="E35" s="334"/>
      <c r="F35" s="334"/>
      <c r="G35" s="335" t="s">
        <v>199</v>
      </c>
      <c r="H35" s="335"/>
      <c r="I35" s="334"/>
      <c r="J35" s="334"/>
      <c r="K35" s="334"/>
      <c r="L35" s="335" t="s">
        <v>188</v>
      </c>
      <c r="M35" s="334"/>
      <c r="N35" s="334"/>
      <c r="O35" s="334"/>
    </row>
    <row r="36" spans="1:15" ht="27" customHeight="1" x14ac:dyDescent="0.2">
      <c r="A36" s="322" t="s">
        <v>200</v>
      </c>
      <c r="B36" s="323"/>
      <c r="C36" s="323"/>
      <c r="D36" s="327"/>
      <c r="E36" s="328"/>
      <c r="F36" s="328"/>
      <c r="G36" s="327"/>
      <c r="H36" s="327"/>
      <c r="I36" s="328"/>
      <c r="J36" s="328"/>
      <c r="K36" s="328"/>
      <c r="L36" s="329"/>
      <c r="M36" s="328"/>
      <c r="N36" s="328"/>
      <c r="O36" s="328"/>
    </row>
    <row r="37" spans="1:15" ht="27" customHeight="1" x14ac:dyDescent="0.2">
      <c r="A37" s="322" t="s">
        <v>201</v>
      </c>
      <c r="B37" s="323"/>
      <c r="C37" s="323"/>
      <c r="D37" s="327"/>
      <c r="E37" s="328"/>
      <c r="F37" s="328"/>
      <c r="G37" s="327"/>
      <c r="H37" s="327"/>
      <c r="I37" s="328"/>
      <c r="J37" s="328"/>
      <c r="K37" s="328"/>
      <c r="L37" s="329"/>
      <c r="M37" s="328"/>
      <c r="N37" s="328"/>
      <c r="O37" s="328"/>
    </row>
    <row r="38" spans="1:15" ht="27" customHeight="1" x14ac:dyDescent="0.2">
      <c r="A38" s="322" t="s">
        <v>202</v>
      </c>
      <c r="B38" s="323"/>
      <c r="C38" s="323"/>
      <c r="D38" s="327"/>
      <c r="E38" s="328"/>
      <c r="F38" s="328"/>
      <c r="G38" s="327"/>
      <c r="H38" s="327"/>
      <c r="I38" s="328"/>
      <c r="J38" s="328"/>
      <c r="K38" s="328"/>
      <c r="L38" s="329"/>
      <c r="M38" s="328"/>
      <c r="N38" s="328"/>
      <c r="O38" s="328"/>
    </row>
    <row r="39" spans="1:15" ht="27" customHeight="1" x14ac:dyDescent="0.2">
      <c r="A39" s="322" t="s">
        <v>203</v>
      </c>
      <c r="B39" s="323"/>
      <c r="C39" s="323"/>
      <c r="D39" s="327"/>
      <c r="E39" s="328"/>
      <c r="F39" s="328"/>
      <c r="G39" s="327"/>
      <c r="H39" s="327"/>
      <c r="I39" s="328"/>
      <c r="J39" s="328"/>
      <c r="K39" s="328"/>
      <c r="L39" s="329"/>
      <c r="M39" s="328"/>
      <c r="N39" s="328"/>
      <c r="O39" s="328"/>
    </row>
    <row r="40" spans="1:15" ht="27" customHeight="1" x14ac:dyDescent="0.2">
      <c r="A40" s="322" t="s">
        <v>204</v>
      </c>
      <c r="B40" s="323"/>
      <c r="C40" s="323"/>
      <c r="D40" s="327"/>
      <c r="E40" s="328"/>
      <c r="F40" s="328"/>
      <c r="G40" s="327"/>
      <c r="H40" s="327"/>
      <c r="I40" s="328"/>
      <c r="J40" s="328"/>
      <c r="K40" s="328"/>
      <c r="L40" s="329"/>
      <c r="M40" s="328"/>
      <c r="N40" s="328"/>
      <c r="O40" s="328"/>
    </row>
    <row r="41" spans="1:15" hidden="1" x14ac:dyDescent="0.2"/>
    <row r="42" spans="1:15" hidden="1" x14ac:dyDescent="0.2">
      <c r="A42" s="333" t="s">
        <v>205</v>
      </c>
      <c r="B42" s="334"/>
      <c r="C42" s="334"/>
      <c r="D42" s="334"/>
      <c r="E42" s="334"/>
      <c r="F42" s="334"/>
      <c r="G42" s="334"/>
      <c r="H42" s="334"/>
      <c r="I42" s="334"/>
      <c r="J42" s="334"/>
      <c r="K42" s="334"/>
      <c r="L42" s="334"/>
      <c r="M42" s="334"/>
      <c r="N42" s="334"/>
      <c r="O42" s="334"/>
    </row>
    <row r="43" spans="1:15" hidden="1" x14ac:dyDescent="0.2">
      <c r="A43" s="335" t="s">
        <v>206</v>
      </c>
      <c r="B43" s="334"/>
      <c r="C43" s="334"/>
      <c r="D43" s="334"/>
      <c r="E43" s="336" t="s">
        <v>207</v>
      </c>
      <c r="F43" s="337"/>
      <c r="G43" s="337"/>
      <c r="H43" s="338"/>
      <c r="I43" s="335" t="s">
        <v>208</v>
      </c>
      <c r="J43" s="334"/>
      <c r="K43" s="334"/>
      <c r="L43" s="335" t="s">
        <v>188</v>
      </c>
      <c r="M43" s="334"/>
      <c r="N43" s="334"/>
      <c r="O43" s="334"/>
    </row>
    <row r="44" spans="1:15" hidden="1" x14ac:dyDescent="0.2">
      <c r="A44" s="322" t="s">
        <v>209</v>
      </c>
      <c r="B44" s="323"/>
      <c r="C44" s="323"/>
      <c r="D44" s="323"/>
      <c r="E44" s="324"/>
      <c r="F44" s="325"/>
      <c r="G44" s="325"/>
      <c r="H44" s="326"/>
      <c r="I44" s="327"/>
      <c r="J44" s="328"/>
      <c r="K44" s="328"/>
      <c r="L44" s="329"/>
      <c r="M44" s="328"/>
      <c r="N44" s="328"/>
      <c r="O44" s="328"/>
    </row>
    <row r="45" spans="1:15" hidden="1" x14ac:dyDescent="0.2">
      <c r="A45" s="322" t="s">
        <v>210</v>
      </c>
      <c r="B45" s="323"/>
      <c r="C45" s="323"/>
      <c r="D45" s="323"/>
      <c r="E45" s="324"/>
      <c r="F45" s="325"/>
      <c r="G45" s="325"/>
      <c r="H45" s="326"/>
      <c r="I45" s="327"/>
      <c r="J45" s="328"/>
      <c r="K45" s="328"/>
      <c r="L45" s="329"/>
      <c r="M45" s="328"/>
      <c r="N45" s="328"/>
      <c r="O45" s="328"/>
    </row>
    <row r="46" spans="1:15" hidden="1" x14ac:dyDescent="0.2">
      <c r="A46" s="322" t="s">
        <v>211</v>
      </c>
      <c r="B46" s="323"/>
      <c r="C46" s="323"/>
      <c r="D46" s="323"/>
      <c r="E46" s="324"/>
      <c r="F46" s="325"/>
      <c r="G46" s="325"/>
      <c r="H46" s="326"/>
      <c r="I46" s="327"/>
      <c r="J46" s="328"/>
      <c r="K46" s="328"/>
      <c r="L46" s="329"/>
      <c r="M46" s="328"/>
      <c r="N46" s="328"/>
      <c r="O46" s="328"/>
    </row>
    <row r="47" spans="1:15" hidden="1" x14ac:dyDescent="0.2">
      <c r="A47" s="322" t="s">
        <v>212</v>
      </c>
      <c r="B47" s="323"/>
      <c r="C47" s="323"/>
      <c r="D47" s="323"/>
      <c r="E47" s="324"/>
      <c r="F47" s="325"/>
      <c r="G47" s="325"/>
      <c r="H47" s="326"/>
      <c r="I47" s="327"/>
      <c r="J47" s="328"/>
      <c r="K47" s="328"/>
      <c r="L47" s="329"/>
      <c r="M47" s="328"/>
      <c r="N47" s="328"/>
      <c r="O47" s="328"/>
    </row>
    <row r="48" spans="1:15" hidden="1" x14ac:dyDescent="0.2">
      <c r="A48" s="322" t="s">
        <v>213</v>
      </c>
      <c r="B48" s="323"/>
      <c r="C48" s="323"/>
      <c r="D48" s="323"/>
      <c r="E48" s="324"/>
      <c r="F48" s="325"/>
      <c r="G48" s="325"/>
      <c r="H48" s="326"/>
      <c r="I48" s="327"/>
      <c r="J48" s="328"/>
      <c r="K48" s="328"/>
      <c r="L48" s="329"/>
      <c r="M48" s="328"/>
      <c r="N48" s="328"/>
      <c r="O48" s="328"/>
    </row>
    <row r="49" spans="1:15" hidden="1" x14ac:dyDescent="0.2"/>
    <row r="50" spans="1:15" hidden="1" x14ac:dyDescent="0.2">
      <c r="A50" s="330" t="s">
        <v>214</v>
      </c>
      <c r="B50" s="331"/>
      <c r="C50" s="331"/>
      <c r="D50" s="331"/>
      <c r="E50" s="331"/>
      <c r="F50" s="331"/>
      <c r="G50" s="331"/>
      <c r="H50" s="331"/>
      <c r="I50" s="331"/>
      <c r="J50" s="331"/>
      <c r="K50" s="331"/>
      <c r="L50" s="331"/>
      <c r="M50" s="331"/>
      <c r="N50" s="331"/>
      <c r="O50" s="331"/>
    </row>
    <row r="51" spans="1:15" hidden="1" x14ac:dyDescent="0.2">
      <c r="A51" s="332" t="s">
        <v>215</v>
      </c>
      <c r="B51" s="328"/>
      <c r="C51" s="328"/>
      <c r="D51" s="328"/>
      <c r="E51" s="328"/>
      <c r="F51" s="328"/>
      <c r="G51" s="328"/>
      <c r="H51" s="328"/>
      <c r="I51" s="328"/>
      <c r="J51" s="328"/>
      <c r="K51" s="328"/>
      <c r="L51" s="328"/>
      <c r="M51" s="328"/>
      <c r="N51" s="328"/>
      <c r="O51" s="328"/>
    </row>
    <row r="52" spans="1:15" hidden="1" x14ac:dyDescent="0.2">
      <c r="A52" s="328"/>
      <c r="B52" s="328"/>
      <c r="C52" s="328"/>
      <c r="D52" s="328"/>
      <c r="E52" s="328"/>
      <c r="F52" s="328"/>
      <c r="G52" s="328"/>
      <c r="H52" s="328"/>
      <c r="I52" s="328"/>
      <c r="J52" s="328"/>
      <c r="K52" s="328"/>
      <c r="L52" s="328"/>
      <c r="M52" s="328"/>
      <c r="N52" s="328"/>
      <c r="O52" s="328"/>
    </row>
    <row r="53" spans="1:15" hidden="1" x14ac:dyDescent="0.2">
      <c r="A53" s="328"/>
      <c r="B53" s="328"/>
      <c r="C53" s="328"/>
      <c r="D53" s="328"/>
      <c r="E53" s="328"/>
      <c r="F53" s="328"/>
      <c r="G53" s="328"/>
      <c r="H53" s="328"/>
      <c r="I53" s="328"/>
      <c r="J53" s="328"/>
      <c r="K53" s="328"/>
      <c r="L53" s="328"/>
      <c r="M53" s="328"/>
      <c r="N53" s="328"/>
      <c r="O53" s="328"/>
    </row>
    <row r="54" spans="1:15" ht="6.4" hidden="1" customHeight="1" x14ac:dyDescent="0.2">
      <c r="A54" s="328"/>
      <c r="B54" s="328"/>
      <c r="C54" s="328"/>
      <c r="D54" s="328"/>
      <c r="E54" s="328"/>
      <c r="F54" s="328"/>
      <c r="G54" s="328"/>
      <c r="H54" s="328"/>
      <c r="I54" s="328"/>
      <c r="J54" s="328"/>
      <c r="K54" s="328"/>
      <c r="L54" s="328"/>
      <c r="M54" s="328"/>
      <c r="N54" s="328"/>
      <c r="O54" s="328"/>
    </row>
    <row r="55" spans="1:15" x14ac:dyDescent="0.2">
      <c r="J55" s="282" t="s">
        <v>216</v>
      </c>
      <c r="K55" s="182"/>
      <c r="L55" s="182"/>
      <c r="M55" s="182"/>
      <c r="N55" s="182"/>
      <c r="O55" s="182"/>
    </row>
  </sheetData>
  <mergeCells count="62">
    <mergeCell ref="A5:O5"/>
    <mergeCell ref="A6:C6"/>
    <mergeCell ref="A7:C7"/>
    <mergeCell ref="D7:O7"/>
    <mergeCell ref="A8:C8"/>
    <mergeCell ref="D8:O8"/>
    <mergeCell ref="D6:O6"/>
    <mergeCell ref="A38:C38"/>
    <mergeCell ref="D38:F38"/>
    <mergeCell ref="G38:K38"/>
    <mergeCell ref="L38:O38"/>
    <mergeCell ref="A9:C9"/>
    <mergeCell ref="D9:O9"/>
    <mergeCell ref="A11:O11"/>
    <mergeCell ref="A34:O34"/>
    <mergeCell ref="A35:C35"/>
    <mergeCell ref="D35:F35"/>
    <mergeCell ref="G35:K35"/>
    <mergeCell ref="L35:O35"/>
    <mergeCell ref="A36:C36"/>
    <mergeCell ref="D36:F36"/>
    <mergeCell ref="G36:K36"/>
    <mergeCell ref="L36:O36"/>
    <mergeCell ref="A37:C37"/>
    <mergeCell ref="D37:F37"/>
    <mergeCell ref="G37:K37"/>
    <mergeCell ref="L37:O37"/>
    <mergeCell ref="A43:D43"/>
    <mergeCell ref="E43:H43"/>
    <mergeCell ref="I43:K43"/>
    <mergeCell ref="L43:O43"/>
    <mergeCell ref="A39:C39"/>
    <mergeCell ref="D39:F39"/>
    <mergeCell ref="G39:K39"/>
    <mergeCell ref="L39:O39"/>
    <mergeCell ref="A42:O42"/>
    <mergeCell ref="A40:C40"/>
    <mergeCell ref="D40:F40"/>
    <mergeCell ref="G40:K40"/>
    <mergeCell ref="L40:O40"/>
    <mergeCell ref="L48:O48"/>
    <mergeCell ref="A50:O50"/>
    <mergeCell ref="A44:D44"/>
    <mergeCell ref="E44:H44"/>
    <mergeCell ref="I44:K44"/>
    <mergeCell ref="L44:O44"/>
    <mergeCell ref="A45:D45"/>
    <mergeCell ref="E45:H45"/>
    <mergeCell ref="I45:K45"/>
    <mergeCell ref="L45:O45"/>
    <mergeCell ref="A51:O54"/>
    <mergeCell ref="A46:D46"/>
    <mergeCell ref="E46:H46"/>
    <mergeCell ref="I46:K46"/>
    <mergeCell ref="L46:O46"/>
    <mergeCell ref="A47:D47"/>
    <mergeCell ref="E47:H47"/>
    <mergeCell ref="I47:K47"/>
    <mergeCell ref="L47:O47"/>
    <mergeCell ref="A48:D48"/>
    <mergeCell ref="E48:H48"/>
    <mergeCell ref="I48:K48"/>
  </mergeCells>
  <conditionalFormatting sqref="A13:O32">
    <cfRule type="expression" dxfId="95" priority="1">
      <formula>$J13="Khẩn"</formula>
    </cfRule>
    <cfRule type="expression" dxfId="94" priority="2">
      <formula>$J13="Bình thường"</formula>
    </cfRule>
    <cfRule type="expression" dxfId="93" priority="3">
      <formula>$J13="Dự phòng"</formula>
    </cfRule>
    <cfRule type="expression" dxfId="92" priority="4">
      <formula>AND($F13&gt;$G13,$F13&gt;0)</formula>
    </cfRule>
  </conditionalFormatting>
  <dataValidations count="2">
    <dataValidation type="list" allowBlank="1" showInputMessage="1" showErrorMessage="1" sqref="K13:K32" xr:uid="{5541B340-2A6B-4861-830E-DB220E1574A9}">
      <formula1>"CCDC,NPL,Tiêu hao"</formula1>
    </dataValidation>
    <dataValidation type="list" allowBlank="1" showInputMessage="1" showErrorMessage="1" sqref="J13:J32" xr:uid="{E055A8A0-59DD-4E4D-B52A-5151A2EE693D}">
      <formula1>"Khẩn,Bình thường,Dự phòng"</formula1>
    </dataValidation>
  </dataValidations>
  <hyperlinks>
    <hyperlink ref="O13" r:id="rId1" xr:uid="{647CF92E-A2AC-4A05-9F26-4623C6D0BCEC}"/>
  </hyperlinks>
  <pageMargins left="0.25" right="0.25" top="0.25" bottom="0.25" header="0.3" footer="0.3"/>
  <pageSetup paperSize="9" scale="87" fitToHeight="0"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EF93BBA-E78F-4FA4-A455-65ED4180391D}">
          <x14:formula1>
            <xm:f>DATA!$B:$B</xm:f>
          </x14:formula1>
          <xm:sqref>E13:E32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691D2-6B56-4BDB-B992-1CED68BEC593}">
  <sheetPr codeName="Sheet5"/>
  <dimension ref="A1:B59"/>
  <sheetViews>
    <sheetView topLeftCell="A37" workbookViewId="0">
      <selection activeCell="F28" sqref="F28"/>
    </sheetView>
  </sheetViews>
  <sheetFormatPr defaultRowHeight="12.75" x14ac:dyDescent="0.2"/>
  <cols>
    <col min="1" max="1" width="8.7109375" customWidth="1"/>
    <col min="2" max="2" width="17.28515625" customWidth="1"/>
  </cols>
  <sheetData>
    <row r="1" spans="1:2" x14ac:dyDescent="0.2">
      <c r="A1" t="s">
        <v>217</v>
      </c>
      <c r="B1" t="s">
        <v>218</v>
      </c>
    </row>
    <row r="2" spans="1:2" x14ac:dyDescent="0.2">
      <c r="A2" t="s">
        <v>219</v>
      </c>
      <c r="B2" t="s">
        <v>220</v>
      </c>
    </row>
    <row r="3" spans="1:2" x14ac:dyDescent="0.2">
      <c r="A3" t="s">
        <v>221</v>
      </c>
      <c r="B3" t="s">
        <v>323</v>
      </c>
    </row>
    <row r="4" spans="1:2" x14ac:dyDescent="0.2">
      <c r="A4" t="s">
        <v>222</v>
      </c>
      <c r="B4" t="s">
        <v>223</v>
      </c>
    </row>
    <row r="5" spans="1:2" x14ac:dyDescent="0.2">
      <c r="A5" t="s">
        <v>224</v>
      </c>
      <c r="B5" t="s">
        <v>328</v>
      </c>
    </row>
    <row r="6" spans="1:2" x14ac:dyDescent="0.2">
      <c r="A6" t="s">
        <v>225</v>
      </c>
      <c r="B6" t="s">
        <v>326</v>
      </c>
    </row>
    <row r="7" spans="1:2" x14ac:dyDescent="0.2">
      <c r="A7" t="s">
        <v>226</v>
      </c>
      <c r="B7" t="s">
        <v>227</v>
      </c>
    </row>
    <row r="8" spans="1:2" x14ac:dyDescent="0.2">
      <c r="A8" t="s">
        <v>228</v>
      </c>
      <c r="B8" t="s">
        <v>229</v>
      </c>
    </row>
    <row r="9" spans="1:2" x14ac:dyDescent="0.2">
      <c r="A9" t="s">
        <v>230</v>
      </c>
      <c r="B9" t="s">
        <v>231</v>
      </c>
    </row>
    <row r="10" spans="1:2" x14ac:dyDescent="0.2">
      <c r="A10" t="s">
        <v>232</v>
      </c>
      <c r="B10" t="s">
        <v>233</v>
      </c>
    </row>
    <row r="11" spans="1:2" x14ac:dyDescent="0.2">
      <c r="A11" t="s">
        <v>234</v>
      </c>
      <c r="B11" t="s">
        <v>235</v>
      </c>
    </row>
    <row r="12" spans="1:2" x14ac:dyDescent="0.2">
      <c r="A12" t="s">
        <v>236</v>
      </c>
      <c r="B12" t="s">
        <v>237</v>
      </c>
    </row>
    <row r="13" spans="1:2" x14ac:dyDescent="0.2">
      <c r="A13" t="s">
        <v>238</v>
      </c>
      <c r="B13" t="s">
        <v>239</v>
      </c>
    </row>
    <row r="14" spans="1:2" x14ac:dyDescent="0.2">
      <c r="A14" t="s">
        <v>240</v>
      </c>
      <c r="B14" t="s">
        <v>241</v>
      </c>
    </row>
    <row r="15" spans="1:2" x14ac:dyDescent="0.2">
      <c r="A15" t="s">
        <v>242</v>
      </c>
      <c r="B15" t="s">
        <v>243</v>
      </c>
    </row>
    <row r="16" spans="1:2" x14ac:dyDescent="0.2">
      <c r="A16" t="s">
        <v>244</v>
      </c>
      <c r="B16" t="s">
        <v>245</v>
      </c>
    </row>
    <row r="17" spans="1:2" x14ac:dyDescent="0.2">
      <c r="A17" t="s">
        <v>246</v>
      </c>
      <c r="B17" t="s">
        <v>247</v>
      </c>
    </row>
    <row r="18" spans="1:2" x14ac:dyDescent="0.2">
      <c r="A18" t="s">
        <v>248</v>
      </c>
      <c r="B18" t="s">
        <v>249</v>
      </c>
    </row>
    <row r="19" spans="1:2" x14ac:dyDescent="0.2">
      <c r="A19" t="s">
        <v>250</v>
      </c>
      <c r="B19" t="s">
        <v>251</v>
      </c>
    </row>
    <row r="20" spans="1:2" x14ac:dyDescent="0.2">
      <c r="A20" t="s">
        <v>252</v>
      </c>
      <c r="B20" t="s">
        <v>253</v>
      </c>
    </row>
    <row r="21" spans="1:2" x14ac:dyDescent="0.2">
      <c r="A21" t="s">
        <v>254</v>
      </c>
      <c r="B21" t="s">
        <v>255</v>
      </c>
    </row>
    <row r="22" spans="1:2" x14ac:dyDescent="0.2">
      <c r="A22" t="s">
        <v>256</v>
      </c>
      <c r="B22" t="s">
        <v>329</v>
      </c>
    </row>
    <row r="23" spans="1:2" x14ac:dyDescent="0.2">
      <c r="A23" t="s">
        <v>257</v>
      </c>
      <c r="B23" t="s">
        <v>257</v>
      </c>
    </row>
    <row r="24" spans="1:2" x14ac:dyDescent="0.2">
      <c r="A24" t="s">
        <v>258</v>
      </c>
      <c r="B24" t="s">
        <v>258</v>
      </c>
    </row>
    <row r="25" spans="1:2" x14ac:dyDescent="0.2">
      <c r="A25" t="s">
        <v>259</v>
      </c>
      <c r="B25" t="s">
        <v>259</v>
      </c>
    </row>
    <row r="26" spans="1:2" x14ac:dyDescent="0.2">
      <c r="A26" t="s">
        <v>260</v>
      </c>
      <c r="B26" t="s">
        <v>261</v>
      </c>
    </row>
    <row r="27" spans="1:2" x14ac:dyDescent="0.2">
      <c r="A27" t="s">
        <v>262</v>
      </c>
      <c r="B27" t="s">
        <v>263</v>
      </c>
    </row>
    <row r="28" spans="1:2" x14ac:dyDescent="0.2">
      <c r="A28" t="s">
        <v>264</v>
      </c>
      <c r="B28" t="s">
        <v>327</v>
      </c>
    </row>
    <row r="29" spans="1:2" x14ac:dyDescent="0.2">
      <c r="A29" t="s">
        <v>265</v>
      </c>
      <c r="B29" t="s">
        <v>266</v>
      </c>
    </row>
    <row r="30" spans="1:2" x14ac:dyDescent="0.2">
      <c r="A30" t="s">
        <v>267</v>
      </c>
      <c r="B30" t="s">
        <v>268</v>
      </c>
    </row>
    <row r="31" spans="1:2" x14ac:dyDescent="0.2">
      <c r="A31" t="s">
        <v>269</v>
      </c>
      <c r="B31" t="s">
        <v>270</v>
      </c>
    </row>
    <row r="32" spans="1:2" x14ac:dyDescent="0.2">
      <c r="A32" t="s">
        <v>271</v>
      </c>
      <c r="B32" t="s">
        <v>272</v>
      </c>
    </row>
    <row r="33" spans="1:2" x14ac:dyDescent="0.2">
      <c r="A33" t="s">
        <v>273</v>
      </c>
      <c r="B33" t="s">
        <v>274</v>
      </c>
    </row>
    <row r="34" spans="1:2" x14ac:dyDescent="0.2">
      <c r="A34" t="s">
        <v>275</v>
      </c>
      <c r="B34" t="s">
        <v>276</v>
      </c>
    </row>
    <row r="35" spans="1:2" x14ac:dyDescent="0.2">
      <c r="A35" t="s">
        <v>277</v>
      </c>
      <c r="B35" t="s">
        <v>278</v>
      </c>
    </row>
    <row r="36" spans="1:2" x14ac:dyDescent="0.2">
      <c r="A36" t="s">
        <v>279</v>
      </c>
      <c r="B36" t="s">
        <v>280</v>
      </c>
    </row>
    <row r="37" spans="1:2" x14ac:dyDescent="0.2">
      <c r="A37" t="s">
        <v>281</v>
      </c>
      <c r="B37" t="s">
        <v>282</v>
      </c>
    </row>
    <row r="38" spans="1:2" x14ac:dyDescent="0.2">
      <c r="A38" t="s">
        <v>283</v>
      </c>
      <c r="B38" t="s">
        <v>284</v>
      </c>
    </row>
    <row r="39" spans="1:2" x14ac:dyDescent="0.2">
      <c r="A39" t="s">
        <v>285</v>
      </c>
      <c r="B39" t="s">
        <v>286</v>
      </c>
    </row>
    <row r="40" spans="1:2" x14ac:dyDescent="0.2">
      <c r="A40" t="s">
        <v>287</v>
      </c>
      <c r="B40" t="s">
        <v>288</v>
      </c>
    </row>
    <row r="41" spans="1:2" x14ac:dyDescent="0.2">
      <c r="A41" t="s">
        <v>289</v>
      </c>
      <c r="B41" t="s">
        <v>290</v>
      </c>
    </row>
    <row r="42" spans="1:2" x14ac:dyDescent="0.2">
      <c r="A42" t="s">
        <v>291</v>
      </c>
      <c r="B42" t="s">
        <v>292</v>
      </c>
    </row>
    <row r="43" spans="1:2" x14ac:dyDescent="0.2">
      <c r="A43" t="s">
        <v>293</v>
      </c>
      <c r="B43" t="s">
        <v>294</v>
      </c>
    </row>
    <row r="44" spans="1:2" x14ac:dyDescent="0.2">
      <c r="A44" t="s">
        <v>295</v>
      </c>
      <c r="B44" t="s">
        <v>295</v>
      </c>
    </row>
    <row r="45" spans="1:2" x14ac:dyDescent="0.2">
      <c r="A45" t="s">
        <v>296</v>
      </c>
      <c r="B45" t="s">
        <v>297</v>
      </c>
    </row>
    <row r="46" spans="1:2" x14ac:dyDescent="0.2">
      <c r="A46" t="s">
        <v>298</v>
      </c>
      <c r="B46" t="s">
        <v>299</v>
      </c>
    </row>
    <row r="47" spans="1:2" x14ac:dyDescent="0.2">
      <c r="A47" t="s">
        <v>300</v>
      </c>
      <c r="B47" t="s">
        <v>301</v>
      </c>
    </row>
    <row r="48" spans="1:2" x14ac:dyDescent="0.2">
      <c r="A48" t="s">
        <v>302</v>
      </c>
      <c r="B48" t="s">
        <v>303</v>
      </c>
    </row>
    <row r="49" spans="1:2" x14ac:dyDescent="0.2">
      <c r="A49" t="s">
        <v>304</v>
      </c>
      <c r="B49" t="s">
        <v>324</v>
      </c>
    </row>
    <row r="50" spans="1:2" x14ac:dyDescent="0.2">
      <c r="A50" t="s">
        <v>305</v>
      </c>
      <c r="B50" t="s">
        <v>306</v>
      </c>
    </row>
    <row r="51" spans="1:2" x14ac:dyDescent="0.2">
      <c r="A51" t="s">
        <v>307</v>
      </c>
      <c r="B51" t="s">
        <v>308</v>
      </c>
    </row>
    <row r="52" spans="1:2" x14ac:dyDescent="0.2">
      <c r="A52" t="s">
        <v>309</v>
      </c>
      <c r="B52" t="s">
        <v>310</v>
      </c>
    </row>
    <row r="53" spans="1:2" x14ac:dyDescent="0.2">
      <c r="A53" t="s">
        <v>311</v>
      </c>
      <c r="B53" t="s">
        <v>325</v>
      </c>
    </row>
    <row r="54" spans="1:2" x14ac:dyDescent="0.2">
      <c r="A54" t="s">
        <v>312</v>
      </c>
      <c r="B54" t="s">
        <v>312</v>
      </c>
    </row>
    <row r="55" spans="1:2" x14ac:dyDescent="0.2">
      <c r="A55" t="s">
        <v>313</v>
      </c>
      <c r="B55" t="s">
        <v>314</v>
      </c>
    </row>
    <row r="56" spans="1:2" x14ac:dyDescent="0.2">
      <c r="A56" t="s">
        <v>315</v>
      </c>
      <c r="B56" t="s">
        <v>316</v>
      </c>
    </row>
    <row r="57" spans="1:2" x14ac:dyDescent="0.2">
      <c r="A57" t="s">
        <v>317</v>
      </c>
      <c r="B57" t="s">
        <v>318</v>
      </c>
    </row>
    <row r="58" spans="1:2" x14ac:dyDescent="0.2">
      <c r="A58" t="s">
        <v>319</v>
      </c>
      <c r="B58" t="s">
        <v>320</v>
      </c>
    </row>
    <row r="59" spans="1:2" x14ac:dyDescent="0.2">
      <c r="A59" t="s">
        <v>321</v>
      </c>
      <c r="B59" t="s">
        <v>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50"/>
  <sheetViews>
    <sheetView showGridLines="0" view="pageBreakPreview" topLeftCell="A8" zoomScale="90" zoomScaleNormal="90" zoomScaleSheetLayoutView="90" workbookViewId="0">
      <selection activeCell="C31" sqref="C31:G31"/>
    </sheetView>
  </sheetViews>
  <sheetFormatPr defaultColWidth="9.140625" defaultRowHeight="12.75" x14ac:dyDescent="0.2"/>
  <cols>
    <col min="1" max="1" width="0.7109375" style="1" customWidth="1"/>
    <col min="2" max="2" width="6.5703125" style="1" customWidth="1"/>
    <col min="3" max="3" width="9.140625" style="1" customWidth="1"/>
    <col min="4" max="4" width="3.28515625" style="1" customWidth="1"/>
    <col min="5" max="5" width="3.7109375" style="1" customWidth="1"/>
    <col min="6" max="6" width="50.28515625" style="1" customWidth="1"/>
    <col min="7" max="7" width="1.85546875" style="1" customWidth="1"/>
    <col min="8" max="8" width="9.140625" style="1" customWidth="1"/>
    <col min="9" max="9" width="13.5703125" style="1" customWidth="1"/>
    <col min="10" max="10" width="2.5703125" style="1" customWidth="1"/>
    <col min="11" max="11" width="1.28515625" style="1" customWidth="1"/>
    <col min="12" max="12" width="14.140625" style="1" customWidth="1"/>
    <col min="13" max="13" width="15.7109375" style="1" customWidth="1"/>
    <col min="14" max="14" width="13.85546875" style="1" customWidth="1"/>
    <col min="15" max="15" width="12.140625" style="1" customWidth="1"/>
    <col min="16" max="16" width="4.7109375" style="1" customWidth="1"/>
    <col min="17" max="16384" width="9.140625" style="1"/>
  </cols>
  <sheetData>
    <row r="1" spans="1:15" ht="3.6" customHeight="1" x14ac:dyDescent="0.2">
      <c r="A1" s="121"/>
      <c r="B1" s="121"/>
      <c r="C1" s="121"/>
      <c r="D1" s="121"/>
      <c r="E1" s="121"/>
      <c r="F1" s="121"/>
      <c r="G1" s="121"/>
      <c r="H1" s="121"/>
      <c r="I1" s="121"/>
      <c r="J1" s="121"/>
      <c r="K1" s="121"/>
      <c r="L1" s="121"/>
      <c r="M1" s="121"/>
      <c r="N1" s="121"/>
    </row>
    <row r="2" spans="1:15" s="53" customFormat="1" ht="34.5" customHeight="1" x14ac:dyDescent="0.25">
      <c r="A2" s="121"/>
      <c r="B2" s="116"/>
      <c r="C2" s="116"/>
      <c r="D2" s="104"/>
      <c r="E2" s="104"/>
      <c r="F2" s="170" t="s">
        <v>142</v>
      </c>
      <c r="G2" s="136"/>
      <c r="H2" s="109"/>
      <c r="I2" s="105"/>
      <c r="J2" s="105"/>
      <c r="K2" s="105"/>
      <c r="L2" s="105"/>
      <c r="M2" s="105"/>
      <c r="N2" s="106"/>
    </row>
    <row r="3" spans="1:15" s="53" customFormat="1" ht="17.649999999999999" customHeight="1" x14ac:dyDescent="0.2">
      <c r="A3" s="121"/>
      <c r="B3" s="116"/>
      <c r="C3" s="116"/>
      <c r="D3" s="104"/>
      <c r="E3" s="104"/>
      <c r="F3" s="121" t="s">
        <v>143</v>
      </c>
      <c r="G3" s="137"/>
      <c r="H3" s="122"/>
      <c r="I3" s="122"/>
      <c r="J3" s="122"/>
      <c r="K3" s="122"/>
      <c r="L3" s="122"/>
      <c r="M3" s="122"/>
      <c r="N3" s="106"/>
    </row>
    <row r="4" spans="1:15" s="53" customFormat="1" ht="17.649999999999999" customHeight="1" x14ac:dyDescent="0.2">
      <c r="A4" s="121"/>
      <c r="B4" s="116"/>
      <c r="C4" s="116"/>
      <c r="D4" s="104"/>
      <c r="E4" s="104"/>
      <c r="F4" s="121" t="s">
        <v>141</v>
      </c>
      <c r="G4" s="137"/>
      <c r="H4" s="122"/>
      <c r="I4" s="122"/>
      <c r="J4" s="122"/>
      <c r="K4" s="122"/>
      <c r="L4" s="122"/>
      <c r="M4" s="122"/>
      <c r="N4" s="106"/>
    </row>
    <row r="5" spans="1:15" s="53" customFormat="1" ht="17.649999999999999" hidden="1" customHeight="1" x14ac:dyDescent="0.2">
      <c r="A5" s="121"/>
      <c r="B5" s="116"/>
      <c r="C5" s="116"/>
      <c r="D5" s="104"/>
      <c r="E5" s="104"/>
      <c r="F5" s="121" t="s">
        <v>140</v>
      </c>
      <c r="G5" s="137"/>
      <c r="H5" s="122"/>
      <c r="I5" s="122"/>
      <c r="J5" s="122"/>
      <c r="K5" s="122"/>
      <c r="L5" s="122"/>
      <c r="M5" s="122"/>
      <c r="N5" s="106"/>
    </row>
    <row r="6" spans="1:15" s="53" customFormat="1" ht="17.649999999999999" customHeight="1" x14ac:dyDescent="0.2">
      <c r="A6" s="121"/>
      <c r="B6" s="116"/>
      <c r="C6" s="116"/>
      <c r="D6" s="104"/>
      <c r="E6" s="104"/>
      <c r="F6" s="121" t="s">
        <v>154</v>
      </c>
      <c r="G6" s="137"/>
      <c r="H6" s="122"/>
      <c r="I6" s="122"/>
      <c r="J6" s="122"/>
      <c r="K6" s="122"/>
      <c r="L6" s="122"/>
      <c r="M6" s="122"/>
      <c r="N6" s="106"/>
    </row>
    <row r="7" spans="1:15" s="53" customFormat="1" ht="7.15" customHeight="1" x14ac:dyDescent="0.2">
      <c r="A7" s="121"/>
      <c r="B7" s="121"/>
      <c r="C7" s="104"/>
      <c r="D7" s="104"/>
      <c r="E7" s="104"/>
      <c r="F7" s="121"/>
      <c r="G7" s="121"/>
      <c r="H7" s="122"/>
      <c r="I7" s="122"/>
      <c r="J7" s="122"/>
      <c r="K7" s="122"/>
      <c r="L7" s="122"/>
      <c r="M7" s="122"/>
      <c r="N7" s="106"/>
    </row>
    <row r="8" spans="1:15" s="53" customFormat="1" ht="36" customHeight="1" x14ac:dyDescent="0.2">
      <c r="A8" s="121"/>
      <c r="B8" s="104"/>
      <c r="C8" s="104"/>
      <c r="D8" s="104"/>
      <c r="E8" s="104"/>
      <c r="F8" s="370" t="s">
        <v>115</v>
      </c>
      <c r="G8" s="370"/>
      <c r="H8" s="371"/>
      <c r="I8" s="371"/>
      <c r="J8" s="371"/>
      <c r="K8" s="371"/>
      <c r="L8" s="371"/>
      <c r="M8" s="371"/>
      <c r="N8" s="106"/>
    </row>
    <row r="9" spans="1:15" s="53" customFormat="1" ht="16.149999999999999" customHeight="1" x14ac:dyDescent="0.2">
      <c r="A9" s="121"/>
      <c r="B9" s="104"/>
      <c r="C9" s="104"/>
      <c r="D9" s="104"/>
      <c r="E9" s="104"/>
      <c r="F9" s="115"/>
      <c r="G9" s="115"/>
      <c r="H9" s="109"/>
      <c r="I9" s="109"/>
      <c r="J9" s="109"/>
      <c r="K9" s="109"/>
      <c r="L9" s="372" t="str">
        <f ca="1">"No.: RFQ/GTAM/" &amp; TEXT(F12,"YYMMDD") &amp; "-01"</f>
        <v>No.: RFQ/GTAM/260505-01</v>
      </c>
      <c r="M9" s="372"/>
      <c r="N9" s="372"/>
    </row>
    <row r="10" spans="1:15" ht="4.9000000000000004" customHeight="1" x14ac:dyDescent="0.2">
      <c r="B10" s="23"/>
      <c r="C10" s="23"/>
      <c r="D10" s="23"/>
      <c r="E10" s="23"/>
      <c r="I10" s="24"/>
      <c r="J10" s="24"/>
      <c r="K10" s="24"/>
      <c r="L10" s="24"/>
      <c r="M10" s="24"/>
      <c r="N10" s="24"/>
      <c r="O10" s="24"/>
    </row>
    <row r="11" spans="1:15" ht="12.4" customHeight="1" x14ac:dyDescent="0.2">
      <c r="B11" s="381"/>
      <c r="C11" s="381"/>
      <c r="D11" s="381"/>
      <c r="E11" s="381"/>
      <c r="F11" s="381"/>
      <c r="G11" s="381"/>
      <c r="H11" s="381"/>
      <c r="I11" s="381"/>
      <c r="J11" s="381"/>
      <c r="K11" s="381"/>
      <c r="L11" s="381"/>
      <c r="M11" s="381"/>
      <c r="N11" s="381"/>
      <c r="O11" s="127" t="s">
        <v>149</v>
      </c>
    </row>
    <row r="12" spans="1:15" s="20" customFormat="1" ht="24.6" customHeight="1" x14ac:dyDescent="0.2">
      <c r="B12" s="132" t="s">
        <v>116</v>
      </c>
      <c r="C12" s="133"/>
      <c r="D12" s="133"/>
      <c r="E12" s="133"/>
      <c r="F12" s="154">
        <f ca="1">TODAY()</f>
        <v>46147</v>
      </c>
      <c r="G12" s="145"/>
      <c r="H12" s="153"/>
      <c r="I12" s="133" t="s">
        <v>117</v>
      </c>
      <c r="J12" s="130"/>
      <c r="K12" s="130"/>
      <c r="L12" s="42"/>
      <c r="M12" s="124" t="str">
        <f ca="1">IF(AND(ISNUMBER(F12), ISNUMBER(O12)), "" &amp; TEXT(F12 + O12, "dd/mm/yyyy"), "")</f>
        <v>20/05/2026</v>
      </c>
      <c r="N12" s="145"/>
      <c r="O12" s="128">
        <v>15</v>
      </c>
    </row>
    <row r="13" spans="1:15" s="20" customFormat="1" ht="9.75" customHeight="1" thickBot="1" x14ac:dyDescent="0.25">
      <c r="B13" s="19"/>
      <c r="C13" s="19"/>
      <c r="D13" s="19"/>
      <c r="E13" s="19"/>
      <c r="F13" s="102"/>
      <c r="G13" s="102"/>
      <c r="H13" s="102"/>
      <c r="I13" s="19"/>
      <c r="J13" s="19"/>
      <c r="K13" s="19"/>
      <c r="L13" s="102"/>
      <c r="M13" s="102"/>
      <c r="N13" s="102"/>
    </row>
    <row r="14" spans="1:15" s="5" customFormat="1" ht="18" customHeight="1" x14ac:dyDescent="0.2">
      <c r="B14" s="155" t="s">
        <v>118</v>
      </c>
      <c r="C14" s="156"/>
      <c r="D14" s="156"/>
      <c r="E14" s="156"/>
      <c r="F14" s="388"/>
      <c r="G14" s="388"/>
      <c r="H14" s="389"/>
      <c r="I14" s="355" t="s">
        <v>152</v>
      </c>
      <c r="J14" s="356"/>
      <c r="K14" s="356"/>
      <c r="L14" s="356"/>
      <c r="M14" s="356"/>
      <c r="N14" s="357"/>
    </row>
    <row r="15" spans="1:15" s="5" customFormat="1" ht="18" customHeight="1" thickBot="1" x14ac:dyDescent="0.25">
      <c r="B15" s="157"/>
      <c r="C15" s="158"/>
      <c r="D15" s="158"/>
      <c r="E15" s="158"/>
      <c r="F15" s="353"/>
      <c r="G15" s="353"/>
      <c r="H15" s="354"/>
      <c r="I15" s="358"/>
      <c r="J15" s="359"/>
      <c r="K15" s="359"/>
      <c r="L15" s="359"/>
      <c r="M15" s="359"/>
      <c r="N15" s="360"/>
    </row>
    <row r="16" spans="1:15" s="20" customFormat="1" ht="22.5" customHeight="1" thickBot="1" x14ac:dyDescent="0.3">
      <c r="B16" s="135" t="s">
        <v>119</v>
      </c>
      <c r="C16" s="147"/>
      <c r="D16" s="147"/>
      <c r="E16" s="148"/>
      <c r="F16" s="164"/>
      <c r="G16" s="165"/>
      <c r="H16" s="166"/>
      <c r="I16" s="149" t="s">
        <v>120</v>
      </c>
      <c r="J16" s="146"/>
      <c r="K16" s="125"/>
      <c r="L16" s="378" t="s">
        <v>145</v>
      </c>
      <c r="M16" s="379"/>
      <c r="N16" s="379"/>
    </row>
    <row r="17" spans="2:15" s="20" customFormat="1" ht="22.5" customHeight="1" thickBot="1" x14ac:dyDescent="0.25">
      <c r="B17" s="135" t="s">
        <v>147</v>
      </c>
      <c r="C17" s="147"/>
      <c r="D17" s="147"/>
      <c r="E17" s="148"/>
      <c r="F17" s="167"/>
      <c r="G17" s="168"/>
      <c r="H17" s="169"/>
      <c r="I17" s="149" t="s">
        <v>147</v>
      </c>
      <c r="J17" s="146"/>
      <c r="K17" s="125"/>
      <c r="L17" s="373"/>
      <c r="M17" s="374"/>
      <c r="N17" s="374"/>
    </row>
    <row r="18" spans="2:15" s="20" customFormat="1" ht="22.5" customHeight="1" thickBot="1" x14ac:dyDescent="0.25">
      <c r="B18" s="135" t="s">
        <v>4</v>
      </c>
      <c r="C18" s="147"/>
      <c r="D18" s="147"/>
      <c r="E18" s="147"/>
      <c r="F18" s="364"/>
      <c r="G18" s="365"/>
      <c r="H18" s="366"/>
      <c r="I18" s="126" t="s">
        <v>4</v>
      </c>
      <c r="J18" s="147"/>
      <c r="K18" s="148"/>
      <c r="L18" s="380" t="s">
        <v>144</v>
      </c>
      <c r="M18" s="373"/>
      <c r="N18" s="373"/>
    </row>
    <row r="19" spans="2:15" ht="10.15" customHeight="1" thickBot="1" x14ac:dyDescent="0.25">
      <c r="B19" s="3"/>
      <c r="C19" s="3"/>
      <c r="D19" s="3"/>
      <c r="E19" s="3"/>
      <c r="F19" s="4"/>
      <c r="G19" s="4"/>
      <c r="H19" s="2"/>
    </row>
    <row r="20" spans="2:15" s="2" customFormat="1" ht="18" customHeight="1" thickBot="1" x14ac:dyDescent="0.25">
      <c r="B20" s="150" t="s">
        <v>121</v>
      </c>
      <c r="C20" s="129"/>
      <c r="D20" s="129"/>
      <c r="E20" s="129"/>
      <c r="F20" s="129"/>
      <c r="G20" s="139"/>
      <c r="H20" s="382"/>
      <c r="I20" s="382"/>
      <c r="J20" s="383"/>
      <c r="K20" s="383"/>
      <c r="L20" s="383"/>
      <c r="M20" s="383"/>
      <c r="N20" s="384"/>
      <c r="O20" s="3"/>
    </row>
    <row r="21" spans="2:15" s="2" customFormat="1" ht="42" customHeight="1" thickBot="1" x14ac:dyDescent="0.25">
      <c r="B21" s="151" t="s">
        <v>122</v>
      </c>
      <c r="C21" s="130"/>
      <c r="D21" s="130"/>
      <c r="E21" s="130"/>
      <c r="F21" s="42"/>
      <c r="G21" s="160" t="s">
        <v>146</v>
      </c>
      <c r="H21" s="103"/>
      <c r="I21" s="103"/>
      <c r="J21" s="134"/>
      <c r="K21" s="134"/>
      <c r="L21" s="134"/>
      <c r="M21" s="134"/>
      <c r="N21" s="143"/>
      <c r="O21" s="16"/>
    </row>
    <row r="22" spans="2:15" ht="18" customHeight="1" thickBot="1" x14ac:dyDescent="0.25">
      <c r="B22" s="151" t="s">
        <v>123</v>
      </c>
      <c r="C22" s="130"/>
      <c r="D22" s="130"/>
      <c r="E22" s="130"/>
      <c r="F22" s="130"/>
      <c r="G22" s="140"/>
      <c r="H22" s="385"/>
      <c r="I22" s="385"/>
      <c r="J22" s="386"/>
      <c r="K22" s="386"/>
      <c r="L22" s="386"/>
      <c r="M22" s="386"/>
      <c r="N22" s="387"/>
      <c r="O22" s="16"/>
    </row>
    <row r="23" spans="2:15" ht="18" customHeight="1" thickBot="1" x14ac:dyDescent="0.25">
      <c r="B23" s="152" t="s">
        <v>124</v>
      </c>
      <c r="C23" s="131"/>
      <c r="D23" s="131"/>
      <c r="E23" s="131"/>
      <c r="F23" s="131"/>
      <c r="G23" s="139"/>
      <c r="H23" s="134"/>
      <c r="I23" s="134"/>
      <c r="J23" s="134"/>
      <c r="K23" s="134"/>
      <c r="L23" s="134"/>
      <c r="M23" s="134"/>
      <c r="N23" s="134"/>
    </row>
    <row r="24" spans="2:15" ht="22.5" customHeight="1" x14ac:dyDescent="0.2">
      <c r="B24" s="19"/>
      <c r="C24" s="19"/>
      <c r="D24" s="19"/>
      <c r="E24" s="19"/>
      <c r="F24" s="144" t="s">
        <v>151</v>
      </c>
      <c r="G24" s="144"/>
      <c r="H24" s="144"/>
      <c r="I24" s="144"/>
      <c r="J24" s="144"/>
      <c r="K24" s="144"/>
      <c r="L24" s="144"/>
      <c r="M24" s="144"/>
      <c r="N24" s="144"/>
    </row>
    <row r="25" spans="2:15" ht="15.75" customHeight="1" x14ac:dyDescent="0.2">
      <c r="B25" s="3"/>
      <c r="C25" s="3"/>
      <c r="D25" s="3"/>
      <c r="E25" s="3"/>
      <c r="F25" s="3"/>
      <c r="G25" s="3"/>
      <c r="H25" s="3"/>
      <c r="I25" s="3"/>
      <c r="J25" s="3"/>
      <c r="K25" s="349" t="s">
        <v>148</v>
      </c>
      <c r="L25" s="349"/>
      <c r="M25" s="349"/>
      <c r="N25" s="350"/>
    </row>
    <row r="26" spans="2:15" ht="15.75" customHeight="1" thickBot="1" x14ac:dyDescent="0.25">
      <c r="B26" s="17"/>
      <c r="C26" s="17"/>
      <c r="D26" s="17"/>
      <c r="E26" s="17"/>
      <c r="F26" s="17"/>
      <c r="G26" s="17"/>
      <c r="H26" s="101"/>
      <c r="I26" s="17"/>
      <c r="J26" s="17"/>
      <c r="K26" s="351" t="s">
        <v>114</v>
      </c>
      <c r="L26" s="351"/>
      <c r="M26" s="351"/>
      <c r="N26" s="352"/>
    </row>
    <row r="27" spans="2:15" s="5" customFormat="1" ht="39" customHeight="1" x14ac:dyDescent="0.2">
      <c r="B27" s="26" t="s">
        <v>150</v>
      </c>
      <c r="C27" s="392" t="s">
        <v>153</v>
      </c>
      <c r="D27" s="376"/>
      <c r="E27" s="376"/>
      <c r="F27" s="376"/>
      <c r="G27" s="377"/>
      <c r="H27" s="48" t="s">
        <v>125</v>
      </c>
      <c r="I27" s="28" t="s">
        <v>126</v>
      </c>
      <c r="J27" s="361" t="s">
        <v>127</v>
      </c>
      <c r="K27" s="362"/>
      <c r="L27" s="363"/>
      <c r="M27" s="28" t="s">
        <v>128</v>
      </c>
      <c r="N27" s="123" t="s">
        <v>129</v>
      </c>
    </row>
    <row r="28" spans="2:15" x14ac:dyDescent="0.2">
      <c r="B28" s="107">
        <v>1</v>
      </c>
      <c r="C28" s="367"/>
      <c r="D28" s="368"/>
      <c r="E28" s="368"/>
      <c r="F28" s="368"/>
      <c r="G28" s="369"/>
      <c r="H28" s="108"/>
      <c r="I28" s="159">
        <v>0</v>
      </c>
      <c r="J28" s="346">
        <v>0</v>
      </c>
      <c r="K28" s="347"/>
      <c r="L28" s="348"/>
      <c r="M28" s="117">
        <f>I28*J28</f>
        <v>0</v>
      </c>
      <c r="N28" s="100"/>
    </row>
    <row r="29" spans="2:15" x14ac:dyDescent="0.2">
      <c r="B29" s="107">
        <v>2</v>
      </c>
      <c r="C29" s="367"/>
      <c r="D29" s="368"/>
      <c r="E29" s="368"/>
      <c r="F29" s="368"/>
      <c r="G29" s="369"/>
      <c r="H29" s="108"/>
      <c r="I29" s="159">
        <v>0</v>
      </c>
      <c r="J29" s="346">
        <v>0</v>
      </c>
      <c r="K29" s="347"/>
      <c r="L29" s="348"/>
      <c r="M29" s="117">
        <f t="shared" ref="M29:M37" si="0">I29*J29</f>
        <v>0</v>
      </c>
      <c r="N29" s="100"/>
    </row>
    <row r="30" spans="2:15" x14ac:dyDescent="0.2">
      <c r="B30" s="107">
        <v>3</v>
      </c>
      <c r="C30" s="367"/>
      <c r="D30" s="368"/>
      <c r="E30" s="368"/>
      <c r="F30" s="368"/>
      <c r="G30" s="369"/>
      <c r="H30" s="108"/>
      <c r="I30" s="159">
        <v>0</v>
      </c>
      <c r="J30" s="346">
        <v>0</v>
      </c>
      <c r="K30" s="347"/>
      <c r="L30" s="348"/>
      <c r="M30" s="117">
        <f t="shared" si="0"/>
        <v>0</v>
      </c>
      <c r="N30" s="100"/>
    </row>
    <row r="31" spans="2:15" x14ac:dyDescent="0.2">
      <c r="B31" s="107">
        <v>4</v>
      </c>
      <c r="C31" s="367"/>
      <c r="D31" s="368"/>
      <c r="E31" s="368"/>
      <c r="F31" s="368"/>
      <c r="G31" s="369"/>
      <c r="H31" s="108"/>
      <c r="I31" s="159">
        <v>0</v>
      </c>
      <c r="J31" s="346">
        <v>0</v>
      </c>
      <c r="K31" s="347"/>
      <c r="L31" s="348"/>
      <c r="M31" s="117">
        <f t="shared" si="0"/>
        <v>0</v>
      </c>
      <c r="N31" s="100"/>
    </row>
    <row r="32" spans="2:15" x14ac:dyDescent="0.2">
      <c r="B32" s="107">
        <v>5</v>
      </c>
      <c r="C32" s="367"/>
      <c r="D32" s="368"/>
      <c r="E32" s="368"/>
      <c r="F32" s="368"/>
      <c r="G32" s="369"/>
      <c r="H32" s="108"/>
      <c r="I32" s="159">
        <v>0</v>
      </c>
      <c r="J32" s="346">
        <v>0</v>
      </c>
      <c r="K32" s="347"/>
      <c r="L32" s="348"/>
      <c r="M32" s="117">
        <f t="shared" si="0"/>
        <v>0</v>
      </c>
      <c r="N32" s="100"/>
    </row>
    <row r="33" spans="2:15" x14ac:dyDescent="0.2">
      <c r="B33" s="107">
        <v>6</v>
      </c>
      <c r="C33" s="367"/>
      <c r="D33" s="368"/>
      <c r="E33" s="368"/>
      <c r="F33" s="368"/>
      <c r="G33" s="369"/>
      <c r="H33" s="108"/>
      <c r="I33" s="159">
        <v>0</v>
      </c>
      <c r="J33" s="346">
        <v>0</v>
      </c>
      <c r="K33" s="347"/>
      <c r="L33" s="348"/>
      <c r="M33" s="117">
        <f t="shared" si="0"/>
        <v>0</v>
      </c>
      <c r="N33" s="100"/>
    </row>
    <row r="34" spans="2:15" x14ac:dyDescent="0.2">
      <c r="B34" s="107">
        <v>7</v>
      </c>
      <c r="C34" s="367"/>
      <c r="D34" s="368"/>
      <c r="E34" s="368"/>
      <c r="F34" s="368"/>
      <c r="G34" s="369"/>
      <c r="H34" s="108"/>
      <c r="I34" s="159">
        <v>0</v>
      </c>
      <c r="J34" s="346">
        <v>0</v>
      </c>
      <c r="K34" s="347"/>
      <c r="L34" s="348"/>
      <c r="M34" s="117">
        <f t="shared" si="0"/>
        <v>0</v>
      </c>
      <c r="N34" s="100"/>
    </row>
    <row r="35" spans="2:15" x14ac:dyDescent="0.2">
      <c r="B35" s="107">
        <v>8</v>
      </c>
      <c r="C35" s="367"/>
      <c r="D35" s="368"/>
      <c r="E35" s="368"/>
      <c r="F35" s="368"/>
      <c r="G35" s="369"/>
      <c r="H35" s="108"/>
      <c r="I35" s="159">
        <v>0</v>
      </c>
      <c r="J35" s="346">
        <v>0</v>
      </c>
      <c r="K35" s="347"/>
      <c r="L35" s="348"/>
      <c r="M35" s="117">
        <f t="shared" si="0"/>
        <v>0</v>
      </c>
      <c r="N35" s="100"/>
    </row>
    <row r="36" spans="2:15" x14ac:dyDescent="0.2">
      <c r="B36" s="107">
        <v>9</v>
      </c>
      <c r="C36" s="367"/>
      <c r="D36" s="368"/>
      <c r="E36" s="368"/>
      <c r="F36" s="368"/>
      <c r="G36" s="369"/>
      <c r="H36" s="108"/>
      <c r="I36" s="159">
        <v>0</v>
      </c>
      <c r="J36" s="346">
        <v>0</v>
      </c>
      <c r="K36" s="347"/>
      <c r="L36" s="348"/>
      <c r="M36" s="117">
        <f t="shared" si="0"/>
        <v>0</v>
      </c>
      <c r="N36" s="100"/>
    </row>
    <row r="37" spans="2:15" ht="13.5" thickBot="1" x14ac:dyDescent="0.25">
      <c r="B37" s="107">
        <v>10</v>
      </c>
      <c r="C37" s="367"/>
      <c r="D37" s="368"/>
      <c r="E37" s="368"/>
      <c r="F37" s="368"/>
      <c r="G37" s="369"/>
      <c r="H37" s="108"/>
      <c r="I37" s="159">
        <v>0</v>
      </c>
      <c r="J37" s="346">
        <v>0</v>
      </c>
      <c r="K37" s="347"/>
      <c r="L37" s="348"/>
      <c r="M37" s="117">
        <f t="shared" si="0"/>
        <v>0</v>
      </c>
      <c r="N37" s="100"/>
    </row>
    <row r="38" spans="2:15" ht="25.5" customHeight="1" x14ac:dyDescent="0.2">
      <c r="B38" s="393" t="s">
        <v>139</v>
      </c>
      <c r="C38" s="394"/>
      <c r="D38" s="394"/>
      <c r="E38" s="394"/>
      <c r="F38" s="394"/>
      <c r="G38" s="138"/>
      <c r="H38" s="20"/>
      <c r="L38" s="118"/>
      <c r="M38" s="118"/>
    </row>
    <row r="39" spans="2:15" ht="18" customHeight="1" x14ac:dyDescent="0.2">
      <c r="B39" s="119"/>
      <c r="C39" s="119"/>
      <c r="D39" s="119"/>
      <c r="E39" s="119"/>
      <c r="F39" s="120"/>
      <c r="G39" s="120"/>
      <c r="I39" s="20"/>
      <c r="J39" s="161"/>
      <c r="K39" s="161"/>
      <c r="L39" s="162" t="s">
        <v>130</v>
      </c>
      <c r="M39" s="163">
        <f>SUM(M28:M38)</f>
        <v>0</v>
      </c>
      <c r="N39" s="4"/>
    </row>
    <row r="40" spans="2:15" ht="18" customHeight="1" x14ac:dyDescent="0.2">
      <c r="B40" s="120"/>
      <c r="C40" s="120"/>
      <c r="D40" s="120"/>
      <c r="E40" s="120"/>
      <c r="F40" s="120"/>
      <c r="G40" s="120"/>
      <c r="I40" s="20"/>
      <c r="J40" s="161"/>
      <c r="K40" s="161"/>
      <c r="L40" s="162" t="s">
        <v>131</v>
      </c>
      <c r="M40" s="163">
        <v>0</v>
      </c>
      <c r="N40" s="4"/>
    </row>
    <row r="41" spans="2:15" ht="18" customHeight="1" x14ac:dyDescent="0.2">
      <c r="B41" s="141" t="s">
        <v>135</v>
      </c>
      <c r="C41" s="142"/>
      <c r="D41" s="142"/>
      <c r="E41" s="142"/>
      <c r="F41" s="142"/>
      <c r="G41" s="142"/>
      <c r="I41" s="20"/>
      <c r="J41" s="161"/>
      <c r="K41" s="161"/>
      <c r="L41" s="162" t="s">
        <v>132</v>
      </c>
      <c r="M41" s="163">
        <v>0</v>
      </c>
      <c r="N41" s="4"/>
    </row>
    <row r="42" spans="2:15" ht="18" customHeight="1" x14ac:dyDescent="0.2">
      <c r="B42" s="390" t="s">
        <v>136</v>
      </c>
      <c r="C42" s="391"/>
      <c r="D42" s="391"/>
      <c r="E42" s="391"/>
      <c r="F42" s="391"/>
      <c r="G42" s="391"/>
      <c r="I42" s="20"/>
      <c r="J42" s="161"/>
      <c r="K42" s="161"/>
      <c r="L42" s="162" t="s">
        <v>133</v>
      </c>
      <c r="M42" s="163">
        <v>0</v>
      </c>
      <c r="N42" s="4"/>
    </row>
    <row r="43" spans="2:15" ht="18" customHeight="1" x14ac:dyDescent="0.2">
      <c r="B43" s="390" t="s">
        <v>137</v>
      </c>
      <c r="C43" s="391"/>
      <c r="D43" s="391"/>
      <c r="E43" s="391"/>
      <c r="F43" s="391"/>
      <c r="G43" s="391"/>
      <c r="I43" s="20"/>
      <c r="J43" s="161"/>
      <c r="K43" s="161"/>
      <c r="L43" s="162" t="s">
        <v>134</v>
      </c>
      <c r="M43" s="163">
        <f>M39+M40+M41+M42</f>
        <v>0</v>
      </c>
      <c r="N43" s="4"/>
    </row>
    <row r="44" spans="2:15" ht="18" customHeight="1" thickBot="1" x14ac:dyDescent="0.25">
      <c r="B44" s="390" t="s">
        <v>138</v>
      </c>
      <c r="C44" s="391"/>
      <c r="D44" s="391"/>
      <c r="E44" s="391"/>
      <c r="F44" s="391"/>
      <c r="G44" s="391"/>
      <c r="H44" s="103"/>
      <c r="I44" s="103"/>
      <c r="J44" s="103"/>
      <c r="K44" s="103"/>
      <c r="O44" s="4"/>
    </row>
    <row r="45" spans="2:15" ht="18.75" customHeight="1" thickBot="1" x14ac:dyDescent="0.25">
      <c r="B45" s="390" t="s">
        <v>19</v>
      </c>
      <c r="C45" s="391"/>
      <c r="D45" s="391"/>
      <c r="E45" s="391"/>
      <c r="F45" s="391"/>
      <c r="G45" s="391"/>
      <c r="H45" s="103"/>
      <c r="I45" s="375"/>
      <c r="J45" s="376"/>
      <c r="K45" s="376"/>
      <c r="L45" s="376"/>
      <c r="M45" s="376"/>
      <c r="N45" s="377"/>
    </row>
    <row r="46" spans="2:15" ht="10.15" customHeight="1" x14ac:dyDescent="0.2">
      <c r="B46" s="9"/>
    </row>
    <row r="47" spans="2:15" s="5" customFormat="1" ht="18" customHeight="1" x14ac:dyDescent="0.2">
      <c r="B47" s="2"/>
      <c r="C47" s="2"/>
      <c r="D47" s="2"/>
      <c r="E47" s="2"/>
      <c r="F47" s="2"/>
      <c r="G47" s="2"/>
    </row>
    <row r="48" spans="2:15" ht="18" customHeight="1" x14ac:dyDescent="0.2"/>
    <row r="49" ht="18" customHeight="1" x14ac:dyDescent="0.2"/>
    <row r="50" ht="18" customHeight="1" x14ac:dyDescent="0.2"/>
  </sheetData>
  <mergeCells count="42">
    <mergeCell ref="C35:G35"/>
    <mergeCell ref="C36:G36"/>
    <mergeCell ref="C37:G37"/>
    <mergeCell ref="B38:F38"/>
    <mergeCell ref="C30:G30"/>
    <mergeCell ref="C31:G31"/>
    <mergeCell ref="C32:G32"/>
    <mergeCell ref="C33:G33"/>
    <mergeCell ref="C34:G34"/>
    <mergeCell ref="F8:M8"/>
    <mergeCell ref="L9:N9"/>
    <mergeCell ref="L17:N17"/>
    <mergeCell ref="I45:N45"/>
    <mergeCell ref="L16:N16"/>
    <mergeCell ref="L18:N18"/>
    <mergeCell ref="B11:N11"/>
    <mergeCell ref="H20:N20"/>
    <mergeCell ref="H22:N22"/>
    <mergeCell ref="F14:H14"/>
    <mergeCell ref="B42:G42"/>
    <mergeCell ref="B43:G43"/>
    <mergeCell ref="B44:G44"/>
    <mergeCell ref="B45:G45"/>
    <mergeCell ref="C27:G27"/>
    <mergeCell ref="C29:G29"/>
    <mergeCell ref="F15:H15"/>
    <mergeCell ref="I14:N15"/>
    <mergeCell ref="J27:L27"/>
    <mergeCell ref="J28:L28"/>
    <mergeCell ref="F18:H18"/>
    <mergeCell ref="C28:G28"/>
    <mergeCell ref="J34:L34"/>
    <mergeCell ref="J35:L35"/>
    <mergeCell ref="J36:L36"/>
    <mergeCell ref="J37:L37"/>
    <mergeCell ref="K25:N25"/>
    <mergeCell ref="K26:N26"/>
    <mergeCell ref="J29:L29"/>
    <mergeCell ref="J30:L30"/>
    <mergeCell ref="J31:L31"/>
    <mergeCell ref="J32:L32"/>
    <mergeCell ref="J33:L33"/>
  </mergeCells>
  <phoneticPr fontId="0" type="noConversion"/>
  <hyperlinks>
    <hyperlink ref="L18" r:id="rId1" xr:uid="{00000000-0004-0000-0000-000000000000}"/>
  </hyperlinks>
  <printOptions horizontalCentered="1"/>
  <pageMargins left="0.19685039370078741" right="0.19685039370078741" top="0.19685039370078741" bottom="0.39370078740157483" header="0" footer="0.19685039370078741"/>
  <pageSetup paperSize="9" scale="70" fitToWidth="0" fitToHeight="0" orientation="portrait" r:id="rId2"/>
  <headerFooter alignWithMargins="0">
    <oddFooter>&amp;L&amp;"Arial,Italic"&amp;8Form ID:&amp;F</oddFooter>
  </headerFooter>
  <colBreaks count="1" manualBreakCount="1">
    <brk id="14"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008DD8A-B6A3-4F29-8443-E7E8C7394F68}">
          <x14:formula1>
            <xm:f>DATA!$B:$B</xm:f>
          </x14:formula1>
          <xm:sqref>H28:H37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9160-74CA-4A03-B6EB-58081549211A}">
  <sheetPr codeName="Sheet6"/>
  <dimension ref="A1:O51"/>
  <sheetViews>
    <sheetView showGridLines="0" view="pageBreakPreview" zoomScale="90" zoomScaleNormal="90" zoomScaleSheetLayoutView="90" workbookViewId="0">
      <selection activeCell="L9" sqref="L9:N9"/>
    </sheetView>
  </sheetViews>
  <sheetFormatPr defaultColWidth="9.140625" defaultRowHeight="13.5" x14ac:dyDescent="0.2"/>
  <cols>
    <col min="1" max="1" width="0.7109375" style="184" customWidth="1"/>
    <col min="2" max="2" width="6.5703125" style="184" customWidth="1"/>
    <col min="3" max="3" width="9.140625" style="184" customWidth="1"/>
    <col min="4" max="4" width="3.28515625" style="184" customWidth="1"/>
    <col min="5" max="5" width="5.42578125" style="184" customWidth="1"/>
    <col min="6" max="6" width="16.5703125" style="184" customWidth="1"/>
    <col min="7" max="7" width="10.140625" style="184" customWidth="1"/>
    <col min="8" max="9" width="5.7109375" style="184" customWidth="1"/>
    <col min="10" max="10" width="12.28515625" style="184" customWidth="1"/>
    <col min="11" max="11" width="13.5703125" style="184" customWidth="1"/>
    <col min="12" max="12" width="14.140625" style="184" customWidth="1"/>
    <col min="13" max="13" width="15.7109375" style="184" customWidth="1"/>
    <col min="14" max="14" width="13.85546875" style="184" customWidth="1"/>
    <col min="15" max="15" width="12.140625" style="184" customWidth="1"/>
    <col min="16" max="16" width="4.7109375" style="184" customWidth="1"/>
    <col min="17" max="16384" width="9.140625" style="184"/>
  </cols>
  <sheetData>
    <row r="1" spans="1:15" ht="3.6" customHeight="1" x14ac:dyDescent="0.2">
      <c r="A1" s="183"/>
      <c r="B1" s="183"/>
      <c r="C1" s="183"/>
      <c r="D1" s="183"/>
      <c r="E1" s="183"/>
      <c r="F1" s="183"/>
      <c r="G1" s="183"/>
      <c r="H1" s="183"/>
      <c r="I1" s="183"/>
      <c r="J1" s="183"/>
      <c r="K1" s="183"/>
      <c r="L1" s="183"/>
      <c r="M1" s="183"/>
      <c r="N1" s="183"/>
    </row>
    <row r="2" spans="1:15" s="192" customFormat="1" ht="34.5" customHeight="1" x14ac:dyDescent="0.2">
      <c r="A2" s="183"/>
      <c r="B2" s="185"/>
      <c r="C2" s="185"/>
      <c r="D2" s="185"/>
      <c r="E2" s="186"/>
      <c r="F2" s="187" t="s">
        <v>142</v>
      </c>
      <c r="G2" s="188"/>
      <c r="H2" s="188"/>
      <c r="I2" s="188"/>
      <c r="J2" s="189"/>
      <c r="K2" s="190"/>
      <c r="L2" s="190"/>
      <c r="M2" s="190"/>
      <c r="N2" s="191"/>
    </row>
    <row r="3" spans="1:15" s="192" customFormat="1" ht="17.649999999999999" customHeight="1" x14ac:dyDescent="0.2">
      <c r="A3" s="183"/>
      <c r="B3" s="185"/>
      <c r="C3" s="185"/>
      <c r="D3" s="185"/>
      <c r="E3" s="186"/>
      <c r="F3" s="183" t="s">
        <v>143</v>
      </c>
      <c r="G3" s="193"/>
      <c r="H3" s="193"/>
      <c r="I3" s="193"/>
      <c r="J3" s="194"/>
      <c r="K3" s="194"/>
      <c r="L3" s="194"/>
      <c r="M3" s="194"/>
      <c r="N3" s="191"/>
    </row>
    <row r="4" spans="1:15" s="192" customFormat="1" ht="17.649999999999999" customHeight="1" x14ac:dyDescent="0.2">
      <c r="A4" s="183"/>
      <c r="B4" s="185"/>
      <c r="C4" s="185"/>
      <c r="D4" s="185"/>
      <c r="E4" s="186"/>
      <c r="F4" s="183" t="s">
        <v>141</v>
      </c>
      <c r="G4" s="193"/>
      <c r="H4" s="193"/>
      <c r="I4" s="193"/>
      <c r="J4" s="194"/>
      <c r="K4" s="194"/>
      <c r="L4" s="194"/>
      <c r="M4" s="194"/>
      <c r="N4" s="191"/>
    </row>
    <row r="5" spans="1:15" s="192" customFormat="1" ht="17.649999999999999" hidden="1" customHeight="1" x14ac:dyDescent="0.2">
      <c r="A5" s="183"/>
      <c r="B5" s="185"/>
      <c r="C5" s="185"/>
      <c r="D5" s="185"/>
      <c r="E5" s="186"/>
      <c r="F5" s="183" t="s">
        <v>140</v>
      </c>
      <c r="G5" s="193"/>
      <c r="H5" s="193"/>
      <c r="I5" s="193"/>
      <c r="J5" s="194"/>
      <c r="K5" s="194"/>
      <c r="L5" s="194"/>
      <c r="M5" s="194"/>
      <c r="N5" s="191"/>
    </row>
    <row r="6" spans="1:15" s="192" customFormat="1" ht="17.649999999999999" customHeight="1" x14ac:dyDescent="0.2">
      <c r="A6" s="183"/>
      <c r="B6" s="185"/>
      <c r="C6" s="185"/>
      <c r="D6" s="185"/>
      <c r="E6" s="186"/>
      <c r="F6" s="183" t="s">
        <v>154</v>
      </c>
      <c r="G6" s="193"/>
      <c r="H6" s="193"/>
      <c r="I6" s="193"/>
      <c r="J6" s="194"/>
      <c r="K6" s="194"/>
      <c r="L6" s="194"/>
      <c r="M6" s="194"/>
      <c r="N6" s="191"/>
    </row>
    <row r="7" spans="1:15" s="192" customFormat="1" ht="7.15" customHeight="1" x14ac:dyDescent="0.2">
      <c r="A7" s="183"/>
      <c r="B7" s="203"/>
      <c r="C7" s="185"/>
      <c r="D7" s="185"/>
      <c r="E7" s="186"/>
      <c r="F7" s="183"/>
      <c r="G7" s="183"/>
      <c r="H7" s="183"/>
      <c r="I7" s="183"/>
      <c r="J7" s="194"/>
      <c r="K7" s="194"/>
      <c r="L7" s="194"/>
      <c r="M7" s="194"/>
      <c r="N7" s="191"/>
    </row>
    <row r="8" spans="1:15" s="192" customFormat="1" ht="36" customHeight="1" x14ac:dyDescent="0.2">
      <c r="A8" s="183"/>
      <c r="B8" s="186"/>
      <c r="C8" s="186"/>
      <c r="D8" s="186"/>
      <c r="E8" s="186"/>
      <c r="F8" s="397" t="s">
        <v>115</v>
      </c>
      <c r="G8" s="397"/>
      <c r="H8" s="397"/>
      <c r="I8" s="397"/>
      <c r="J8" s="398"/>
      <c r="K8" s="398"/>
      <c r="L8" s="398"/>
      <c r="M8" s="398"/>
      <c r="N8" s="191"/>
    </row>
    <row r="9" spans="1:15" s="192" customFormat="1" ht="16.149999999999999" customHeight="1" x14ac:dyDescent="0.2">
      <c r="A9" s="183"/>
      <c r="B9" s="186"/>
      <c r="C9" s="186"/>
      <c r="D9" s="186"/>
      <c r="E9" s="186"/>
      <c r="F9" s="195"/>
      <c r="G9" s="195"/>
      <c r="H9" s="195"/>
      <c r="I9" s="195"/>
      <c r="J9" s="189"/>
      <c r="K9" s="189"/>
      <c r="L9" s="399" t="str">
        <f ca="1">"No.: RFQ/GTAM/" &amp; TEXT(F12,"YYMMDD") &amp; "-01"</f>
        <v>No.: RFQ/GTAM/260505-01</v>
      </c>
      <c r="M9" s="399"/>
      <c r="N9" s="399"/>
    </row>
    <row r="10" spans="1:15" ht="4.9000000000000004" customHeight="1" x14ac:dyDescent="0.2">
      <c r="B10" s="196"/>
      <c r="C10" s="196"/>
      <c r="D10" s="196"/>
      <c r="E10" s="196"/>
      <c r="K10" s="197"/>
      <c r="L10" s="197"/>
      <c r="M10" s="197"/>
      <c r="N10" s="197"/>
      <c r="O10" s="197"/>
    </row>
    <row r="11" spans="1:15" ht="12.4" customHeight="1" x14ac:dyDescent="0.2">
      <c r="B11" s="400"/>
      <c r="C11" s="400"/>
      <c r="D11" s="400"/>
      <c r="E11" s="400"/>
      <c r="F11" s="400"/>
      <c r="G11" s="400"/>
      <c r="H11" s="400"/>
      <c r="I11" s="400"/>
      <c r="J11" s="400"/>
      <c r="K11" s="400"/>
      <c r="L11" s="400"/>
      <c r="M11" s="400"/>
      <c r="N11" s="400"/>
      <c r="O11" s="198" t="s">
        <v>149</v>
      </c>
    </row>
    <row r="12" spans="1:15" ht="24.6" customHeight="1" x14ac:dyDescent="0.2">
      <c r="B12" s="204" t="s">
        <v>116</v>
      </c>
      <c r="C12" s="205"/>
      <c r="D12" s="205"/>
      <c r="E12" s="205"/>
      <c r="F12" s="206">
        <f ca="1">TODAY()</f>
        <v>46147</v>
      </c>
      <c r="G12" s="207"/>
      <c r="H12" s="207"/>
      <c r="I12" s="207"/>
      <c r="J12" s="208" t="s">
        <v>117</v>
      </c>
      <c r="K12" s="209"/>
      <c r="L12" s="206" t="str">
        <f ca="1">IF(AND(ISNUMBER(F12), ISNUMBER(O12)), "" &amp; TEXT(F12 + O12, "dd/mm/yyyy"), "")</f>
        <v>20/05/2026</v>
      </c>
      <c r="M12" s="207"/>
      <c r="N12" s="207"/>
      <c r="O12" s="199">
        <v>15</v>
      </c>
    </row>
    <row r="13" spans="1:15" ht="9.75" customHeight="1" thickBot="1" x14ac:dyDescent="0.25">
      <c r="B13" s="210"/>
      <c r="C13" s="210"/>
      <c r="D13" s="210"/>
      <c r="E13" s="210"/>
      <c r="F13" s="211"/>
      <c r="G13" s="211"/>
      <c r="H13" s="211"/>
      <c r="I13" s="211"/>
      <c r="J13" s="211"/>
      <c r="K13" s="210"/>
      <c r="L13" s="211"/>
      <c r="M13" s="211"/>
      <c r="N13" s="211"/>
    </row>
    <row r="14" spans="1:15" s="200" customFormat="1" ht="20.65" customHeight="1" x14ac:dyDescent="0.25">
      <c r="B14" s="212" t="s">
        <v>155</v>
      </c>
      <c r="C14" s="213"/>
      <c r="D14" s="213"/>
      <c r="E14" s="213"/>
      <c r="F14" s="214"/>
      <c r="G14" s="214"/>
      <c r="H14" s="214"/>
      <c r="I14" s="214"/>
      <c r="J14" s="215" t="s">
        <v>156</v>
      </c>
      <c r="K14" s="216"/>
      <c r="L14" s="217"/>
      <c r="M14" s="217"/>
      <c r="N14" s="218"/>
    </row>
    <row r="15" spans="1:15" s="200" customFormat="1" ht="20.65" customHeight="1" thickBot="1" x14ac:dyDescent="0.25">
      <c r="B15" s="219" t="s">
        <v>157</v>
      </c>
      <c r="C15" s="220"/>
      <c r="D15" s="220"/>
      <c r="E15" s="220"/>
      <c r="F15" s="221"/>
      <c r="G15" s="221"/>
      <c r="H15" s="221"/>
      <c r="I15" s="221"/>
      <c r="J15" s="222"/>
      <c r="K15" s="223"/>
      <c r="L15" s="223"/>
      <c r="M15" s="223"/>
      <c r="N15" s="224"/>
    </row>
    <row r="16" spans="1:15" ht="22.5" customHeight="1" thickBot="1" x14ac:dyDescent="0.25">
      <c r="B16" s="225" t="s">
        <v>119</v>
      </c>
      <c r="C16" s="226"/>
      <c r="D16" s="226"/>
      <c r="E16" s="227"/>
      <c r="F16" s="228"/>
      <c r="G16" s="229"/>
      <c r="H16" s="229"/>
      <c r="I16" s="229"/>
      <c r="J16" s="409" t="s">
        <v>120</v>
      </c>
      <c r="K16" s="410"/>
      <c r="L16" s="230" t="s">
        <v>145</v>
      </c>
      <c r="M16" s="231"/>
      <c r="N16" s="231"/>
    </row>
    <row r="17" spans="2:14" ht="22.5" customHeight="1" thickBot="1" x14ac:dyDescent="0.25">
      <c r="B17" s="225" t="s">
        <v>147</v>
      </c>
      <c r="C17" s="226"/>
      <c r="D17" s="226"/>
      <c r="E17" s="227"/>
      <c r="F17" s="228"/>
      <c r="G17" s="229"/>
      <c r="H17" s="229"/>
      <c r="I17" s="229"/>
      <c r="J17" s="411" t="s">
        <v>147</v>
      </c>
      <c r="K17" s="412"/>
      <c r="L17" s="228"/>
      <c r="M17" s="229"/>
      <c r="N17" s="229"/>
    </row>
    <row r="18" spans="2:14" ht="22.5" customHeight="1" thickBot="1" x14ac:dyDescent="0.25">
      <c r="B18" s="225" t="s">
        <v>4</v>
      </c>
      <c r="C18" s="226"/>
      <c r="D18" s="226"/>
      <c r="E18" s="227"/>
      <c r="F18" s="228"/>
      <c r="G18" s="229"/>
      <c r="H18" s="229"/>
      <c r="I18" s="229"/>
      <c r="J18" s="411" t="s">
        <v>4</v>
      </c>
      <c r="K18" s="412"/>
      <c r="L18" s="228" t="s">
        <v>144</v>
      </c>
      <c r="M18" s="229"/>
      <c r="N18" s="229"/>
    </row>
    <row r="19" spans="2:14" ht="10.15" customHeight="1" thickBot="1" x14ac:dyDescent="0.25">
      <c r="B19" s="232"/>
      <c r="C19" s="210"/>
      <c r="D19" s="210"/>
      <c r="E19" s="210"/>
      <c r="F19" s="233"/>
      <c r="G19" s="233"/>
      <c r="H19" s="233"/>
      <c r="I19" s="233"/>
      <c r="J19" s="234"/>
      <c r="K19" s="235"/>
      <c r="L19" s="235"/>
      <c r="M19" s="235"/>
      <c r="N19" s="235"/>
    </row>
    <row r="20" spans="2:14" ht="22.5" customHeight="1" thickBot="1" x14ac:dyDescent="0.25">
      <c r="B20" s="225" t="s">
        <v>121</v>
      </c>
      <c r="C20" s="226"/>
      <c r="D20" s="226"/>
      <c r="E20" s="226"/>
      <c r="F20" s="236"/>
      <c r="G20" s="237"/>
      <c r="H20" s="237"/>
      <c r="I20" s="237"/>
      <c r="J20" s="237"/>
      <c r="K20" s="237"/>
      <c r="L20" s="237"/>
      <c r="M20" s="237"/>
      <c r="N20" s="238"/>
    </row>
    <row r="21" spans="2:14" ht="22.5" customHeight="1" thickBot="1" x14ac:dyDescent="0.25">
      <c r="B21" s="225" t="s">
        <v>122</v>
      </c>
      <c r="C21" s="226"/>
      <c r="D21" s="226"/>
      <c r="E21" s="226"/>
      <c r="F21" s="239" t="s">
        <v>146</v>
      </c>
      <c r="G21" s="237"/>
      <c r="H21" s="237"/>
      <c r="I21" s="237"/>
      <c r="J21" s="237"/>
      <c r="K21" s="237"/>
      <c r="L21" s="237"/>
      <c r="M21" s="237"/>
      <c r="N21" s="238"/>
    </row>
    <row r="22" spans="2:14" ht="22.5" customHeight="1" thickBot="1" x14ac:dyDescent="0.25">
      <c r="B22" s="225" t="s">
        <v>158</v>
      </c>
      <c r="C22" s="226"/>
      <c r="D22" s="226"/>
      <c r="E22" s="226"/>
      <c r="F22" s="236"/>
      <c r="G22" s="237"/>
      <c r="H22" s="237"/>
      <c r="I22" s="237"/>
      <c r="J22" s="237"/>
      <c r="K22" s="237"/>
      <c r="L22" s="237"/>
      <c r="M22" s="237"/>
      <c r="N22" s="238"/>
    </row>
    <row r="23" spans="2:14" ht="22.5" customHeight="1" thickBot="1" x14ac:dyDescent="0.25">
      <c r="B23" s="225" t="s">
        <v>124</v>
      </c>
      <c r="C23" s="226"/>
      <c r="D23" s="226"/>
      <c r="E23" s="226"/>
      <c r="F23" s="236"/>
      <c r="G23" s="237"/>
      <c r="H23" s="237"/>
      <c r="I23" s="237"/>
      <c r="J23" s="237"/>
      <c r="K23" s="237"/>
      <c r="L23" s="237"/>
      <c r="M23" s="237"/>
      <c r="N23" s="238"/>
    </row>
    <row r="24" spans="2:14" ht="22.5" customHeight="1" x14ac:dyDescent="0.2">
      <c r="B24" s="210"/>
      <c r="C24" s="210"/>
      <c r="D24" s="210"/>
      <c r="E24" s="210"/>
      <c r="F24" s="240" t="s">
        <v>151</v>
      </c>
      <c r="G24" s="240"/>
      <c r="H24" s="240"/>
      <c r="I24" s="240"/>
      <c r="J24" s="240"/>
      <c r="K24" s="240"/>
      <c r="L24" s="240"/>
      <c r="M24" s="240"/>
      <c r="N24" s="240"/>
    </row>
    <row r="25" spans="2:14" ht="15.75" customHeight="1" x14ac:dyDescent="0.2">
      <c r="B25" s="210"/>
      <c r="C25" s="210"/>
      <c r="D25" s="210"/>
      <c r="E25" s="210"/>
      <c r="F25" s="210"/>
      <c r="G25" s="210"/>
      <c r="H25" s="210"/>
      <c r="I25" s="210"/>
      <c r="J25" s="210"/>
      <c r="K25" s="210"/>
      <c r="L25" s="414"/>
      <c r="M25" s="414"/>
      <c r="N25" s="415"/>
    </row>
    <row r="26" spans="2:14" ht="15.75" customHeight="1" x14ac:dyDescent="0.2">
      <c r="B26" s="210"/>
      <c r="C26" s="210"/>
      <c r="D26" s="210"/>
      <c r="E26" s="210"/>
      <c r="F26" s="210"/>
      <c r="G26" s="210"/>
      <c r="H26" s="210"/>
      <c r="I26" s="210"/>
      <c r="J26" s="234"/>
      <c r="K26" s="210"/>
      <c r="L26" s="416"/>
      <c r="M26" s="416"/>
      <c r="N26" s="417"/>
    </row>
    <row r="27" spans="2:14" s="200" customFormat="1" ht="39" customHeight="1" x14ac:dyDescent="0.2">
      <c r="B27" s="241" t="s">
        <v>150</v>
      </c>
      <c r="C27" s="418" t="s">
        <v>159</v>
      </c>
      <c r="D27" s="419"/>
      <c r="E27" s="419"/>
      <c r="F27" s="419"/>
      <c r="G27" s="419"/>
      <c r="H27" s="242" t="s">
        <v>160</v>
      </c>
      <c r="I27" s="243"/>
      <c r="J27" s="241" t="s">
        <v>125</v>
      </c>
      <c r="K27" s="244" t="s">
        <v>162</v>
      </c>
      <c r="L27" s="244" t="s">
        <v>127</v>
      </c>
      <c r="M27" s="244" t="s">
        <v>128</v>
      </c>
      <c r="N27" s="244" t="s">
        <v>129</v>
      </c>
    </row>
    <row r="28" spans="2:14" ht="32.1" customHeight="1" x14ac:dyDescent="0.2">
      <c r="B28" s="245">
        <v>1</v>
      </c>
      <c r="C28" s="403"/>
      <c r="D28" s="404"/>
      <c r="E28" s="404"/>
      <c r="F28" s="404"/>
      <c r="G28" s="405"/>
      <c r="H28" s="395"/>
      <c r="I28" s="396"/>
      <c r="J28" s="247" t="s">
        <v>253</v>
      </c>
      <c r="K28" s="248">
        <v>0</v>
      </c>
      <c r="L28" s="248">
        <v>0</v>
      </c>
      <c r="M28" s="249">
        <f>K28*L28</f>
        <v>0</v>
      </c>
      <c r="N28" s="250"/>
    </row>
    <row r="29" spans="2:14" ht="32.1" customHeight="1" x14ac:dyDescent="0.2">
      <c r="B29" s="245">
        <v>2</v>
      </c>
      <c r="C29" s="403"/>
      <c r="D29" s="404"/>
      <c r="E29" s="404"/>
      <c r="F29" s="404"/>
      <c r="G29" s="405"/>
      <c r="H29" s="395"/>
      <c r="I29" s="396"/>
      <c r="J29" s="246"/>
      <c r="K29" s="248">
        <v>0</v>
      </c>
      <c r="L29" s="248">
        <v>0</v>
      </c>
      <c r="M29" s="249">
        <f t="shared" ref="M29:M37" si="0">K29*L29</f>
        <v>0</v>
      </c>
      <c r="N29" s="250"/>
    </row>
    <row r="30" spans="2:14" ht="32.1" customHeight="1" x14ac:dyDescent="0.2">
      <c r="B30" s="245">
        <v>3</v>
      </c>
      <c r="C30" s="403"/>
      <c r="D30" s="404"/>
      <c r="E30" s="404"/>
      <c r="F30" s="404"/>
      <c r="G30" s="405"/>
      <c r="H30" s="395"/>
      <c r="I30" s="396"/>
      <c r="J30" s="246"/>
      <c r="K30" s="248">
        <v>0</v>
      </c>
      <c r="L30" s="248">
        <v>0</v>
      </c>
      <c r="M30" s="249">
        <f t="shared" si="0"/>
        <v>0</v>
      </c>
      <c r="N30" s="250"/>
    </row>
    <row r="31" spans="2:14" ht="32.1" customHeight="1" x14ac:dyDescent="0.2">
      <c r="B31" s="245">
        <v>4</v>
      </c>
      <c r="C31" s="403"/>
      <c r="D31" s="404"/>
      <c r="E31" s="404"/>
      <c r="F31" s="404"/>
      <c r="G31" s="405"/>
      <c r="H31" s="395"/>
      <c r="I31" s="396"/>
      <c r="J31" s="246"/>
      <c r="K31" s="248">
        <v>0</v>
      </c>
      <c r="L31" s="248">
        <v>0</v>
      </c>
      <c r="M31" s="249">
        <f t="shared" si="0"/>
        <v>0</v>
      </c>
      <c r="N31" s="250"/>
    </row>
    <row r="32" spans="2:14" ht="32.1" customHeight="1" x14ac:dyDescent="0.2">
      <c r="B32" s="245">
        <v>5</v>
      </c>
      <c r="C32" s="403"/>
      <c r="D32" s="404"/>
      <c r="E32" s="404"/>
      <c r="F32" s="404"/>
      <c r="G32" s="405"/>
      <c r="H32" s="395"/>
      <c r="I32" s="396"/>
      <c r="J32" s="246"/>
      <c r="K32" s="248">
        <v>0</v>
      </c>
      <c r="L32" s="248">
        <v>0</v>
      </c>
      <c r="M32" s="249">
        <f t="shared" si="0"/>
        <v>0</v>
      </c>
      <c r="N32" s="250"/>
    </row>
    <row r="33" spans="2:15" ht="32.1" customHeight="1" x14ac:dyDescent="0.2">
      <c r="B33" s="245">
        <v>6</v>
      </c>
      <c r="C33" s="403"/>
      <c r="D33" s="404"/>
      <c r="E33" s="404"/>
      <c r="F33" s="404"/>
      <c r="G33" s="405"/>
      <c r="H33" s="395"/>
      <c r="I33" s="396"/>
      <c r="J33" s="246"/>
      <c r="K33" s="248">
        <v>0</v>
      </c>
      <c r="L33" s="248">
        <v>0</v>
      </c>
      <c r="M33" s="249">
        <f t="shared" si="0"/>
        <v>0</v>
      </c>
      <c r="N33" s="250"/>
    </row>
    <row r="34" spans="2:15" ht="32.1" customHeight="1" x14ac:dyDescent="0.2">
      <c r="B34" s="245">
        <v>7</v>
      </c>
      <c r="C34" s="403"/>
      <c r="D34" s="404"/>
      <c r="E34" s="404"/>
      <c r="F34" s="404"/>
      <c r="G34" s="405"/>
      <c r="H34" s="395"/>
      <c r="I34" s="396"/>
      <c r="J34" s="246"/>
      <c r="K34" s="248">
        <v>0</v>
      </c>
      <c r="L34" s="248">
        <v>0</v>
      </c>
      <c r="M34" s="249">
        <f t="shared" si="0"/>
        <v>0</v>
      </c>
      <c r="N34" s="250"/>
    </row>
    <row r="35" spans="2:15" ht="32.1" customHeight="1" x14ac:dyDescent="0.2">
      <c r="B35" s="245">
        <v>8</v>
      </c>
      <c r="C35" s="403"/>
      <c r="D35" s="404"/>
      <c r="E35" s="404"/>
      <c r="F35" s="404"/>
      <c r="G35" s="405"/>
      <c r="H35" s="395"/>
      <c r="I35" s="396"/>
      <c r="J35" s="246"/>
      <c r="K35" s="248">
        <v>0</v>
      </c>
      <c r="L35" s="248">
        <v>0</v>
      </c>
      <c r="M35" s="249">
        <f t="shared" si="0"/>
        <v>0</v>
      </c>
      <c r="N35" s="250"/>
    </row>
    <row r="36" spans="2:15" ht="32.1" customHeight="1" x14ac:dyDescent="0.2">
      <c r="B36" s="245">
        <v>9</v>
      </c>
      <c r="C36" s="403"/>
      <c r="D36" s="404"/>
      <c r="E36" s="404"/>
      <c r="F36" s="404"/>
      <c r="G36" s="405"/>
      <c r="H36" s="395"/>
      <c r="I36" s="396"/>
      <c r="J36" s="246"/>
      <c r="K36" s="248">
        <v>0</v>
      </c>
      <c r="L36" s="248">
        <v>0</v>
      </c>
      <c r="M36" s="249">
        <f t="shared" si="0"/>
        <v>0</v>
      </c>
      <c r="N36" s="250"/>
    </row>
    <row r="37" spans="2:15" ht="32.1" customHeight="1" x14ac:dyDescent="0.2">
      <c r="B37" s="245">
        <v>10</v>
      </c>
      <c r="C37" s="403"/>
      <c r="D37" s="404"/>
      <c r="E37" s="404"/>
      <c r="F37" s="404"/>
      <c r="G37" s="405"/>
      <c r="H37" s="395"/>
      <c r="I37" s="396"/>
      <c r="J37" s="246"/>
      <c r="K37" s="248">
        <v>0</v>
      </c>
      <c r="L37" s="248">
        <v>0</v>
      </c>
      <c r="M37" s="249">
        <f t="shared" si="0"/>
        <v>0</v>
      </c>
      <c r="N37" s="250"/>
    </row>
    <row r="38" spans="2:15" ht="4.1500000000000004" customHeight="1" x14ac:dyDescent="0.2">
      <c r="B38" s="235"/>
      <c r="C38" s="235"/>
      <c r="D38" s="235"/>
      <c r="E38" s="235"/>
      <c r="F38" s="235"/>
      <c r="G38" s="235"/>
      <c r="H38" s="235"/>
      <c r="I38" s="235"/>
      <c r="J38" s="235"/>
      <c r="K38" s="251"/>
      <c r="L38" s="251"/>
      <c r="M38" s="252"/>
      <c r="N38" s="235"/>
    </row>
    <row r="39" spans="2:15" ht="25.5" customHeight="1" x14ac:dyDescent="0.2">
      <c r="B39" s="413" t="s">
        <v>139</v>
      </c>
      <c r="C39" s="413"/>
      <c r="D39" s="413"/>
      <c r="E39" s="413"/>
      <c r="F39" s="413"/>
      <c r="G39" s="253"/>
      <c r="H39" s="254"/>
      <c r="I39" s="254"/>
      <c r="J39" s="235"/>
      <c r="K39" s="235"/>
      <c r="L39" s="252"/>
      <c r="M39" s="252"/>
      <c r="N39" s="235"/>
    </row>
    <row r="40" spans="2:15" ht="18" customHeight="1" x14ac:dyDescent="0.2">
      <c r="B40" s="253"/>
      <c r="C40" s="253"/>
      <c r="D40" s="253"/>
      <c r="E40" s="253"/>
      <c r="F40" s="253"/>
      <c r="G40" s="253"/>
      <c r="H40" s="254"/>
      <c r="I40" s="254"/>
      <c r="J40" s="235"/>
      <c r="K40" s="235"/>
      <c r="L40" s="255" t="s">
        <v>130</v>
      </c>
      <c r="M40" s="256">
        <f>SUM(M28:M39)</f>
        <v>0</v>
      </c>
      <c r="N40" s="233"/>
    </row>
    <row r="41" spans="2:15" ht="18" customHeight="1" x14ac:dyDescent="0.2">
      <c r="B41" s="253"/>
      <c r="C41" s="253"/>
      <c r="D41" s="253"/>
      <c r="E41" s="253"/>
      <c r="F41" s="253"/>
      <c r="G41" s="253"/>
      <c r="H41" s="254"/>
      <c r="I41" s="254"/>
      <c r="J41" s="235"/>
      <c r="K41" s="235"/>
      <c r="L41" s="255" t="s">
        <v>161</v>
      </c>
      <c r="M41" s="256">
        <v>0</v>
      </c>
      <c r="N41" s="257">
        <v>8</v>
      </c>
    </row>
    <row r="42" spans="2:15" ht="18" customHeight="1" x14ac:dyDescent="0.2">
      <c r="B42" s="258" t="s">
        <v>135</v>
      </c>
      <c r="C42" s="259"/>
      <c r="D42" s="259"/>
      <c r="E42" s="259"/>
      <c r="F42" s="259"/>
      <c r="G42" s="259"/>
      <c r="H42" s="260"/>
      <c r="I42" s="260"/>
      <c r="J42" s="235"/>
      <c r="K42" s="235"/>
      <c r="L42" s="255" t="s">
        <v>131</v>
      </c>
      <c r="M42" s="256">
        <v>0</v>
      </c>
      <c r="N42" s="233"/>
    </row>
    <row r="43" spans="2:15" ht="18" customHeight="1" x14ac:dyDescent="0.2">
      <c r="B43" s="401" t="s">
        <v>136</v>
      </c>
      <c r="C43" s="402"/>
      <c r="D43" s="402"/>
      <c r="E43" s="402"/>
      <c r="F43" s="402"/>
      <c r="G43" s="402"/>
      <c r="H43" s="261"/>
      <c r="I43" s="261"/>
      <c r="J43" s="235"/>
      <c r="K43" s="235"/>
      <c r="L43" s="255" t="s">
        <v>133</v>
      </c>
      <c r="M43" s="256">
        <v>0</v>
      </c>
      <c r="N43" s="233"/>
    </row>
    <row r="44" spans="2:15" ht="18" customHeight="1" x14ac:dyDescent="0.2">
      <c r="B44" s="401" t="s">
        <v>137</v>
      </c>
      <c r="C44" s="402"/>
      <c r="D44" s="402"/>
      <c r="E44" s="402"/>
      <c r="F44" s="402"/>
      <c r="G44" s="402"/>
      <c r="H44" s="261"/>
      <c r="I44" s="261"/>
      <c r="J44" s="235"/>
      <c r="K44" s="235"/>
      <c r="L44" s="255" t="s">
        <v>134</v>
      </c>
      <c r="M44" s="256">
        <f>M40+M41+M42+M43</f>
        <v>0</v>
      </c>
      <c r="N44" s="233"/>
    </row>
    <row r="45" spans="2:15" ht="18" customHeight="1" thickBot="1" x14ac:dyDescent="0.25">
      <c r="B45" s="401" t="s">
        <v>138</v>
      </c>
      <c r="C45" s="402"/>
      <c r="D45" s="402"/>
      <c r="E45" s="402"/>
      <c r="F45" s="402"/>
      <c r="G45" s="402"/>
      <c r="H45" s="261"/>
      <c r="I45" s="261"/>
      <c r="J45" s="240"/>
      <c r="K45" s="240"/>
      <c r="L45" s="235"/>
      <c r="M45" s="235"/>
      <c r="N45" s="235"/>
      <c r="O45" s="201"/>
    </row>
    <row r="46" spans="2:15" ht="18.75" customHeight="1" thickBot="1" x14ac:dyDescent="0.25">
      <c r="B46" s="401" t="s">
        <v>19</v>
      </c>
      <c r="C46" s="402"/>
      <c r="D46" s="402"/>
      <c r="E46" s="402"/>
      <c r="F46" s="402"/>
      <c r="G46" s="402"/>
      <c r="H46" s="261"/>
      <c r="I46" s="261"/>
      <c r="J46" s="240"/>
      <c r="K46" s="406"/>
      <c r="L46" s="407"/>
      <c r="M46" s="407"/>
      <c r="N46" s="408"/>
    </row>
    <row r="47" spans="2:15" ht="10.15" customHeight="1" x14ac:dyDescent="0.2">
      <c r="B47" s="262"/>
      <c r="C47" s="235"/>
      <c r="D47" s="235"/>
      <c r="E47" s="235"/>
      <c r="F47" s="235"/>
      <c r="G47" s="235"/>
      <c r="H47" s="235"/>
      <c r="I47" s="235"/>
      <c r="J47" s="235"/>
      <c r="K47" s="235"/>
      <c r="L47" s="235"/>
      <c r="M47" s="235"/>
      <c r="N47" s="235"/>
    </row>
    <row r="48" spans="2:15" s="200" customFormat="1" ht="18" customHeight="1" x14ac:dyDescent="0.2">
      <c r="B48" s="202"/>
      <c r="C48" s="202"/>
      <c r="D48" s="202"/>
      <c r="E48" s="202"/>
      <c r="F48" s="202"/>
      <c r="G48" s="202"/>
      <c r="H48" s="202"/>
      <c r="I48" s="202"/>
    </row>
    <row r="49" ht="18" customHeight="1" x14ac:dyDescent="0.2"/>
    <row r="50" ht="18" customHeight="1" x14ac:dyDescent="0.2"/>
    <row r="51" ht="18" customHeight="1" x14ac:dyDescent="0.2"/>
  </sheetData>
  <mergeCells count="35">
    <mergeCell ref="B46:G46"/>
    <mergeCell ref="K46:N46"/>
    <mergeCell ref="J16:K16"/>
    <mergeCell ref="J17:K17"/>
    <mergeCell ref="J18:K18"/>
    <mergeCell ref="B39:F39"/>
    <mergeCell ref="B43:G43"/>
    <mergeCell ref="L25:N25"/>
    <mergeCell ref="L26:N26"/>
    <mergeCell ref="C27:G27"/>
    <mergeCell ref="H29:I29"/>
    <mergeCell ref="H30:I30"/>
    <mergeCell ref="H31:I31"/>
    <mergeCell ref="H32:I32"/>
    <mergeCell ref="H33:I33"/>
    <mergeCell ref="H34:I34"/>
    <mergeCell ref="B44:G44"/>
    <mergeCell ref="B45:G45"/>
    <mergeCell ref="C28:G28"/>
    <mergeCell ref="C29:G29"/>
    <mergeCell ref="C30:G30"/>
    <mergeCell ref="C31:G31"/>
    <mergeCell ref="C32:G32"/>
    <mergeCell ref="C33:G33"/>
    <mergeCell ref="C34:G34"/>
    <mergeCell ref="C35:G35"/>
    <mergeCell ref="C36:G36"/>
    <mergeCell ref="C37:G37"/>
    <mergeCell ref="H35:I35"/>
    <mergeCell ref="H36:I36"/>
    <mergeCell ref="H37:I37"/>
    <mergeCell ref="F8:M8"/>
    <mergeCell ref="L9:N9"/>
    <mergeCell ref="B11:N11"/>
    <mergeCell ref="H28:I28"/>
  </mergeCells>
  <dataValidations count="1">
    <dataValidation type="list" allowBlank="1" showInputMessage="1" showErrorMessage="1" sqref="N41" xr:uid="{8021EEB7-305F-459C-9E51-E4656D8BE737}">
      <formula1>"8, 10"</formula1>
    </dataValidation>
  </dataValidations>
  <hyperlinks>
    <hyperlink ref="L18" r:id="rId1" xr:uid="{DE3CD897-9F3B-48DF-BBFE-9EFEBAC49AED}"/>
  </hyperlinks>
  <printOptions horizontalCentered="1"/>
  <pageMargins left="0.19685039370078741" right="0.19685039370078741" top="0.19685039370078741" bottom="0.39370078740157483" header="0" footer="0.19685039370078741"/>
  <pageSetup paperSize="9" scale="70" fitToWidth="0" fitToHeight="0" orientation="portrait" r:id="rId2"/>
  <headerFooter alignWithMargins="0">
    <oddFooter>&amp;L&amp;"Arial,Italic"&amp;8Form ID:&amp;F</oddFooter>
  </headerFooter>
  <colBreaks count="1" manualBreakCount="1">
    <brk id="14"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331E25F-D633-4A50-83FB-F717D1399DC1}">
          <x14:formula1>
            <xm:f>DATA!$B:$B</xm:f>
          </x14:formula1>
          <xm:sqref>J28:J37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ECA4-A6B2-472A-8E60-035E2B9B2D13}">
  <dimension ref="A1:Q52"/>
  <sheetViews>
    <sheetView zoomScaleNormal="100" zoomScaleSheetLayoutView="100" workbookViewId="0">
      <selection activeCell="R31" sqref="R31"/>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1/PRD-MRF/0526</v>
      </c>
      <c r="P2" s="277">
        <v>1</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
      <c r="A13" s="285"/>
      <c r="B13" s="286"/>
      <c r="C13" s="286"/>
      <c r="D13" s="286"/>
      <c r="E13" s="285"/>
      <c r="F13" s="285"/>
      <c r="G13" s="285"/>
      <c r="H13" s="285"/>
      <c r="I13" s="287"/>
      <c r="J13" s="285"/>
      <c r="K13" s="285"/>
      <c r="L13" s="288"/>
      <c r="M13" s="288" t="str">
        <f t="shared" ref="M13:M29" si="0">IF(AND(ISNUMBER(F13),ISNUMBER(L13)),F13*L13,"")</f>
        <v/>
      </c>
      <c r="N13" s="285"/>
      <c r="O13" s="289"/>
    </row>
    <row r="14" spans="1:17" x14ac:dyDescent="0.2">
      <c r="A14" s="285"/>
      <c r="B14" s="286"/>
      <c r="C14" s="286"/>
      <c r="D14" s="286"/>
      <c r="E14" s="285"/>
      <c r="F14" s="285"/>
      <c r="G14" s="285"/>
      <c r="H14" s="285"/>
      <c r="I14" s="287"/>
      <c r="J14" s="285"/>
      <c r="K14" s="285"/>
      <c r="L14" s="288"/>
      <c r="M14" s="288"/>
      <c r="N14" s="285"/>
      <c r="O14" s="289"/>
    </row>
    <row r="15" spans="1:17" x14ac:dyDescent="0.2">
      <c r="A15" s="285"/>
      <c r="B15" s="286"/>
      <c r="C15" s="286"/>
      <c r="D15" s="286"/>
      <c r="E15" s="285"/>
      <c r="F15" s="285"/>
      <c r="G15" s="285"/>
      <c r="H15" s="285"/>
      <c r="I15" s="287"/>
      <c r="J15" s="285"/>
      <c r="K15" s="285"/>
      <c r="L15" s="288"/>
      <c r="M15" s="288"/>
      <c r="N15" s="285"/>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2">
    <mergeCell ref="A48:O51"/>
    <mergeCell ref="A43:D43"/>
    <mergeCell ref="E43:H43"/>
    <mergeCell ref="I43:K43"/>
    <mergeCell ref="L43:O43"/>
    <mergeCell ref="A44:D44"/>
    <mergeCell ref="E44:H44"/>
    <mergeCell ref="I44:K44"/>
    <mergeCell ref="L44:O44"/>
    <mergeCell ref="A45:D45"/>
    <mergeCell ref="E45:H45"/>
    <mergeCell ref="I45:K45"/>
    <mergeCell ref="L37:O37"/>
    <mergeCell ref="L45:O45"/>
    <mergeCell ref="A47:O47"/>
    <mergeCell ref="A41:D41"/>
    <mergeCell ref="E41:H41"/>
    <mergeCell ref="I41:K41"/>
    <mergeCell ref="L41:O41"/>
    <mergeCell ref="A42:D42"/>
    <mergeCell ref="E42:H42"/>
    <mergeCell ref="I42:K42"/>
    <mergeCell ref="L42:O42"/>
    <mergeCell ref="A34:C34"/>
    <mergeCell ref="D34:F34"/>
    <mergeCell ref="G34:K34"/>
    <mergeCell ref="L34:O34"/>
    <mergeCell ref="A40:D40"/>
    <mergeCell ref="E40:H40"/>
    <mergeCell ref="I40:K40"/>
    <mergeCell ref="L40:O40"/>
    <mergeCell ref="A36:C36"/>
    <mergeCell ref="D36:F36"/>
    <mergeCell ref="G36:K36"/>
    <mergeCell ref="L36:O36"/>
    <mergeCell ref="A39:O39"/>
    <mergeCell ref="A37:C37"/>
    <mergeCell ref="D37:F37"/>
    <mergeCell ref="G37:K37"/>
    <mergeCell ref="A35:C35"/>
    <mergeCell ref="D35:F35"/>
    <mergeCell ref="G35:K35"/>
    <mergeCell ref="L35:O35"/>
    <mergeCell ref="A9:C9"/>
    <mergeCell ref="D9:O9"/>
    <mergeCell ref="A11:O11"/>
    <mergeCell ref="A31:O31"/>
    <mergeCell ref="A32:C32"/>
    <mergeCell ref="D32:F32"/>
    <mergeCell ref="G32:K32"/>
    <mergeCell ref="L32:O32"/>
    <mergeCell ref="A33:C33"/>
    <mergeCell ref="D33:F33"/>
    <mergeCell ref="G33:K33"/>
    <mergeCell ref="L33:O33"/>
    <mergeCell ref="A8:C8"/>
    <mergeCell ref="D8:O8"/>
    <mergeCell ref="A5:O5"/>
    <mergeCell ref="A6:C6"/>
    <mergeCell ref="D6:O6"/>
    <mergeCell ref="A7:C7"/>
    <mergeCell ref="D7:O7"/>
  </mergeCells>
  <conditionalFormatting sqref="A13:O29">
    <cfRule type="expression" dxfId="91" priority="1">
      <formula>$J13="Khẩn"</formula>
    </cfRule>
    <cfRule type="expression" dxfId="90" priority="2">
      <formula>$J13="Bình thường"</formula>
    </cfRule>
    <cfRule type="expression" dxfId="89" priority="3">
      <formula>$J13="Dự phòng"</formula>
    </cfRule>
    <cfRule type="expression" dxfId="88" priority="4">
      <formula>AND($F13&gt;$G13,$F13&gt;0)</formula>
    </cfRule>
  </conditionalFormatting>
  <dataValidations count="2">
    <dataValidation type="list" allowBlank="1" showInputMessage="1" showErrorMessage="1" sqref="J13:J29" xr:uid="{8DB2EFC8-B493-4EAA-8774-67D3DF1DECB2}">
      <formula1>"Khẩn,Bình thường,Dự phòng"</formula1>
    </dataValidation>
    <dataValidation type="list" allowBlank="1" showInputMessage="1" showErrorMessage="1" sqref="K13:K29" xr:uid="{7E86A0BB-0AD1-444D-98B8-F12BB76925C2}">
      <formula1>"CCDC,NPL,Tiêu hao"</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4BC1527-206F-4116-944B-985DB7D92906}">
          <x14:formula1>
            <xm:f>DATA!$B:$B</xm:f>
          </x14:formula1>
          <xm:sqref>E13:E29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0C46-5042-4FD2-8DC6-03803CEED234}">
  <dimension ref="A1:Q54"/>
  <sheetViews>
    <sheetView zoomScaleNormal="100" zoomScaleSheetLayoutView="100" workbookViewId="0">
      <selection activeCell="L35" sqref="L35:O35"/>
    </sheetView>
  </sheetViews>
  <sheetFormatPr defaultColWidth="8.5703125" defaultRowHeight="15.75" x14ac:dyDescent="0.2"/>
  <cols>
    <col min="1" max="1" width="4.140625" style="171" customWidth="1"/>
    <col min="2" max="2" width="22.85546875" style="171" customWidth="1"/>
    <col min="3" max="3" width="0.7109375" style="171" hidden="1" customWidth="1"/>
    <col min="4" max="4" width="29"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1/PRD-MRF/0526</v>
      </c>
      <c r="P2" s="277">
        <v>1</v>
      </c>
      <c r="Q2" s="278"/>
    </row>
    <row r="3" spans="1:17" ht="31.5" x14ac:dyDescent="0.2">
      <c r="A3" s="269"/>
      <c r="B3" s="270"/>
      <c r="C3" s="270"/>
      <c r="D3" s="271" t="s">
        <v>166</v>
      </c>
      <c r="E3" s="276"/>
      <c r="F3" s="272"/>
      <c r="G3" s="272"/>
      <c r="H3" s="272"/>
      <c r="I3" s="272"/>
      <c r="J3" s="272"/>
      <c r="K3" s="273"/>
      <c r="L3" s="174"/>
      <c r="M3" s="174"/>
      <c r="N3" s="274" t="s">
        <v>167</v>
      </c>
      <c r="O3" s="279">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
      <c r="A6" s="339" t="s">
        <v>169</v>
      </c>
      <c r="B6" s="323"/>
      <c r="C6" s="323"/>
      <c r="D6" s="420" t="s">
        <v>343</v>
      </c>
      <c r="E6" s="421"/>
      <c r="F6" s="421"/>
      <c r="G6" s="421"/>
      <c r="H6" s="421"/>
      <c r="I6" s="421"/>
      <c r="J6" s="421"/>
      <c r="K6" s="421"/>
      <c r="L6" s="421"/>
      <c r="M6" s="421"/>
      <c r="N6" s="421"/>
      <c r="O6" s="422"/>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346</v>
      </c>
      <c r="E8" s="328"/>
      <c r="F8" s="328"/>
      <c r="G8" s="328"/>
      <c r="H8" s="328"/>
      <c r="I8" s="328"/>
      <c r="J8" s="328"/>
      <c r="K8" s="328"/>
      <c r="L8" s="328"/>
      <c r="M8" s="328"/>
      <c r="N8" s="328"/>
      <c r="O8" s="328"/>
    </row>
    <row r="9" spans="1:17" x14ac:dyDescent="0.2">
      <c r="A9" s="339" t="s">
        <v>172</v>
      </c>
      <c r="B9" s="323"/>
      <c r="C9" s="323"/>
      <c r="D9" s="340" t="s">
        <v>345</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
      <c r="A13" s="285">
        <v>1</v>
      </c>
      <c r="B13" s="286" t="s">
        <v>341</v>
      </c>
      <c r="C13" s="286"/>
      <c r="D13" s="286" t="s">
        <v>332</v>
      </c>
      <c r="E13" s="285" t="s">
        <v>301</v>
      </c>
      <c r="F13" s="285">
        <v>1</v>
      </c>
      <c r="G13" s="285">
        <v>0</v>
      </c>
      <c r="H13" s="285"/>
      <c r="I13" s="287"/>
      <c r="J13" s="285" t="s">
        <v>189</v>
      </c>
      <c r="K13" s="285" t="s">
        <v>190</v>
      </c>
      <c r="L13" s="288"/>
      <c r="M13" s="288" t="str">
        <f t="shared" ref="M13:M31" si="0">IF(AND(ISNUMBER(F13),ISNUMBER(L13)),F13*L13,"")</f>
        <v/>
      </c>
      <c r="N13" s="309" t="s">
        <v>342</v>
      </c>
      <c r="O13" s="266"/>
    </row>
    <row r="14" spans="1:17" x14ac:dyDescent="0.2">
      <c r="A14" s="285">
        <v>2</v>
      </c>
      <c r="B14" s="286" t="s">
        <v>341</v>
      </c>
      <c r="C14" s="286"/>
      <c r="D14" s="290" t="s">
        <v>333</v>
      </c>
      <c r="E14" s="285" t="s">
        <v>324</v>
      </c>
      <c r="F14" s="285">
        <v>27</v>
      </c>
      <c r="G14" s="285">
        <v>0</v>
      </c>
      <c r="H14" s="285"/>
      <c r="I14" s="287"/>
      <c r="J14" s="285" t="s">
        <v>189</v>
      </c>
      <c r="K14" s="285" t="s">
        <v>190</v>
      </c>
      <c r="L14" s="288"/>
      <c r="M14" s="288" t="str">
        <f t="shared" si="0"/>
        <v/>
      </c>
      <c r="N14" s="310"/>
      <c r="O14" s="286"/>
    </row>
    <row r="15" spans="1:17" x14ac:dyDescent="0.2">
      <c r="A15" s="285">
        <v>3</v>
      </c>
      <c r="B15" s="286" t="s">
        <v>341</v>
      </c>
      <c r="C15" s="286"/>
      <c r="D15" s="286" t="s">
        <v>334</v>
      </c>
      <c r="E15" s="285" t="s">
        <v>301</v>
      </c>
      <c r="F15" s="285">
        <v>1</v>
      </c>
      <c r="G15" s="285">
        <v>0</v>
      </c>
      <c r="H15" s="285"/>
      <c r="I15" s="287"/>
      <c r="J15" s="285" t="s">
        <v>189</v>
      </c>
      <c r="K15" s="285" t="s">
        <v>190</v>
      </c>
      <c r="L15" s="288"/>
      <c r="M15" s="288" t="str">
        <f t="shared" si="0"/>
        <v/>
      </c>
      <c r="N15" s="310"/>
      <c r="O15" s="286"/>
    </row>
    <row r="16" spans="1:17" x14ac:dyDescent="0.2">
      <c r="A16" s="285">
        <v>4</v>
      </c>
      <c r="B16" s="286" t="s">
        <v>341</v>
      </c>
      <c r="C16" s="286"/>
      <c r="D16" s="286" t="s">
        <v>335</v>
      </c>
      <c r="E16" s="285" t="s">
        <v>301</v>
      </c>
      <c r="F16" s="285">
        <v>28</v>
      </c>
      <c r="G16" s="285">
        <v>0</v>
      </c>
      <c r="H16" s="285"/>
      <c r="I16" s="287"/>
      <c r="J16" s="285" t="s">
        <v>189</v>
      </c>
      <c r="K16" s="285" t="s">
        <v>190</v>
      </c>
      <c r="L16" s="288"/>
      <c r="M16" s="288" t="str">
        <f t="shared" si="0"/>
        <v/>
      </c>
      <c r="N16" s="310"/>
      <c r="O16" s="289"/>
    </row>
    <row r="17" spans="1:15" x14ac:dyDescent="0.2">
      <c r="A17" s="285">
        <v>5</v>
      </c>
      <c r="B17" s="286" t="s">
        <v>341</v>
      </c>
      <c r="C17" s="286"/>
      <c r="D17" s="286" t="s">
        <v>336</v>
      </c>
      <c r="E17" s="285" t="s">
        <v>301</v>
      </c>
      <c r="F17" s="285">
        <v>1</v>
      </c>
      <c r="G17" s="285">
        <v>0</v>
      </c>
      <c r="H17" s="285"/>
      <c r="I17" s="287"/>
      <c r="J17" s="285" t="s">
        <v>189</v>
      </c>
      <c r="K17" s="285" t="s">
        <v>190</v>
      </c>
      <c r="L17" s="288"/>
      <c r="M17" s="288" t="str">
        <f t="shared" si="0"/>
        <v/>
      </c>
      <c r="N17" s="310"/>
      <c r="O17" s="286"/>
    </row>
    <row r="18" spans="1:15" x14ac:dyDescent="0.2">
      <c r="A18" s="285">
        <v>7</v>
      </c>
      <c r="B18" s="286" t="s">
        <v>341</v>
      </c>
      <c r="C18" s="286"/>
      <c r="D18" s="286" t="s">
        <v>337</v>
      </c>
      <c r="E18" s="285" t="s">
        <v>324</v>
      </c>
      <c r="F18" s="285">
        <v>36</v>
      </c>
      <c r="G18" s="285">
        <v>0</v>
      </c>
      <c r="H18" s="285"/>
      <c r="I18" s="287"/>
      <c r="J18" s="285" t="s">
        <v>189</v>
      </c>
      <c r="K18" s="285" t="s">
        <v>190</v>
      </c>
      <c r="L18" s="288"/>
      <c r="M18" s="288" t="str">
        <f t="shared" si="0"/>
        <v/>
      </c>
      <c r="N18" s="310"/>
      <c r="O18" s="286"/>
    </row>
    <row r="19" spans="1:15" x14ac:dyDescent="0.2">
      <c r="A19" s="285">
        <v>8</v>
      </c>
      <c r="B19" s="286" t="s">
        <v>341</v>
      </c>
      <c r="C19" s="286"/>
      <c r="D19" s="286" t="s">
        <v>338</v>
      </c>
      <c r="E19" s="285" t="s">
        <v>324</v>
      </c>
      <c r="F19" s="285">
        <v>54</v>
      </c>
      <c r="G19" s="285">
        <v>0</v>
      </c>
      <c r="H19" s="285"/>
      <c r="I19" s="287"/>
      <c r="J19" s="285" t="s">
        <v>189</v>
      </c>
      <c r="K19" s="285" t="s">
        <v>190</v>
      </c>
      <c r="L19" s="288"/>
      <c r="M19" s="288" t="str">
        <f t="shared" si="0"/>
        <v/>
      </c>
      <c r="N19" s="310"/>
      <c r="O19" s="286"/>
    </row>
    <row r="20" spans="1:15" x14ac:dyDescent="0.2">
      <c r="A20" s="285">
        <v>9</v>
      </c>
      <c r="B20" s="286" t="s">
        <v>340</v>
      </c>
      <c r="C20" s="286"/>
      <c r="D20" s="286" t="s">
        <v>339</v>
      </c>
      <c r="E20" s="285" t="s">
        <v>301</v>
      </c>
      <c r="F20" s="285">
        <v>1</v>
      </c>
      <c r="G20" s="285">
        <v>0</v>
      </c>
      <c r="H20" s="285"/>
      <c r="I20" s="287"/>
      <c r="J20" s="285" t="s">
        <v>189</v>
      </c>
      <c r="K20" s="285" t="s">
        <v>190</v>
      </c>
      <c r="L20" s="288"/>
      <c r="M20" s="288" t="str">
        <f t="shared" si="0"/>
        <v/>
      </c>
      <c r="N20" s="311"/>
      <c r="O20" s="286"/>
    </row>
    <row r="21" spans="1:15" x14ac:dyDescent="0.2">
      <c r="A21" s="285"/>
      <c r="B21" s="286"/>
      <c r="C21" s="286"/>
      <c r="D21" s="286"/>
      <c r="E21" s="285"/>
      <c r="F21" s="285"/>
      <c r="G21" s="285"/>
      <c r="H21" s="285"/>
      <c r="I21" s="287"/>
      <c r="J21" s="285"/>
      <c r="K21" s="285"/>
      <c r="L21" s="288"/>
      <c r="M21" s="288" t="str">
        <f t="shared" si="0"/>
        <v/>
      </c>
      <c r="N21" s="285"/>
      <c r="O21" s="286"/>
    </row>
    <row r="22" spans="1:15" hidden="1" x14ac:dyDescent="0.2">
      <c r="A22" s="176">
        <v>11</v>
      </c>
      <c r="B22" s="263"/>
      <c r="C22" s="263"/>
      <c r="D22" s="263"/>
      <c r="E22" s="176"/>
      <c r="F22" s="176"/>
      <c r="G22" s="176"/>
      <c r="H22" s="176"/>
      <c r="I22" s="177"/>
      <c r="J22" s="176"/>
      <c r="K22" s="176"/>
      <c r="L22" s="178"/>
      <c r="M22" s="178" t="str">
        <f t="shared" si="0"/>
        <v/>
      </c>
      <c r="N22" s="176"/>
      <c r="O22" s="286"/>
    </row>
    <row r="23" spans="1:15" hidden="1" x14ac:dyDescent="0.2">
      <c r="A23" s="179">
        <v>12</v>
      </c>
      <c r="B23" s="264"/>
      <c r="C23" s="264"/>
      <c r="D23" s="264"/>
      <c r="E23" s="179"/>
      <c r="F23" s="179"/>
      <c r="G23" s="179"/>
      <c r="H23" s="179"/>
      <c r="I23" s="180"/>
      <c r="J23" s="179"/>
      <c r="K23" s="179"/>
      <c r="L23" s="181"/>
      <c r="M23" s="181" t="str">
        <f t="shared" si="0"/>
        <v/>
      </c>
      <c r="N23" s="179"/>
      <c r="O23" s="286"/>
    </row>
    <row r="24" spans="1:15" hidden="1" x14ac:dyDescent="0.2">
      <c r="A24" s="176">
        <v>13</v>
      </c>
      <c r="B24" s="263"/>
      <c r="C24" s="263"/>
      <c r="D24" s="263"/>
      <c r="E24" s="176"/>
      <c r="F24" s="176"/>
      <c r="G24" s="176"/>
      <c r="H24" s="176"/>
      <c r="I24" s="177"/>
      <c r="J24" s="176"/>
      <c r="K24" s="176"/>
      <c r="L24" s="178"/>
      <c r="M24" s="178" t="str">
        <f t="shared" si="0"/>
        <v/>
      </c>
      <c r="N24" s="176"/>
      <c r="O24" s="286"/>
    </row>
    <row r="25" spans="1:15" hidden="1" x14ac:dyDescent="0.2">
      <c r="A25" s="179">
        <v>14</v>
      </c>
      <c r="B25" s="264"/>
      <c r="C25" s="264"/>
      <c r="D25" s="264"/>
      <c r="E25" s="179"/>
      <c r="F25" s="179"/>
      <c r="G25" s="179"/>
      <c r="H25" s="179"/>
      <c r="I25" s="180"/>
      <c r="J25" s="179"/>
      <c r="K25" s="179"/>
      <c r="L25" s="181"/>
      <c r="M25" s="181" t="str">
        <f t="shared" si="0"/>
        <v/>
      </c>
      <c r="N25" s="179"/>
      <c r="O25" s="286"/>
    </row>
    <row r="26" spans="1:15" hidden="1" x14ac:dyDescent="0.2">
      <c r="A26" s="176">
        <v>15</v>
      </c>
      <c r="B26" s="263"/>
      <c r="C26" s="263"/>
      <c r="D26" s="263"/>
      <c r="E26" s="176"/>
      <c r="F26" s="176"/>
      <c r="G26" s="176"/>
      <c r="H26" s="176"/>
      <c r="I26" s="177"/>
      <c r="J26" s="176"/>
      <c r="K26" s="176"/>
      <c r="L26" s="178"/>
      <c r="M26" s="178" t="str">
        <f t="shared" si="0"/>
        <v/>
      </c>
      <c r="N26" s="176"/>
      <c r="O26" s="286"/>
    </row>
    <row r="27" spans="1:15" hidden="1" x14ac:dyDescent="0.2">
      <c r="A27" s="179">
        <v>16</v>
      </c>
      <c r="B27" s="264"/>
      <c r="C27" s="264"/>
      <c r="D27" s="264"/>
      <c r="E27" s="179"/>
      <c r="F27" s="179"/>
      <c r="G27" s="179"/>
      <c r="H27" s="179"/>
      <c r="I27" s="180"/>
      <c r="J27" s="179"/>
      <c r="K27" s="179"/>
      <c r="L27" s="181"/>
      <c r="M27" s="181" t="str">
        <f t="shared" si="0"/>
        <v/>
      </c>
      <c r="N27" s="179"/>
      <c r="O27" s="286"/>
    </row>
    <row r="28" spans="1:15" hidden="1" x14ac:dyDescent="0.2">
      <c r="A28" s="176">
        <v>17</v>
      </c>
      <c r="B28" s="263"/>
      <c r="C28" s="263"/>
      <c r="D28" s="263"/>
      <c r="E28" s="176"/>
      <c r="F28" s="176"/>
      <c r="G28" s="176"/>
      <c r="H28" s="176"/>
      <c r="I28" s="177"/>
      <c r="J28" s="176"/>
      <c r="K28" s="176"/>
      <c r="L28" s="178"/>
      <c r="M28" s="178" t="str">
        <f t="shared" si="0"/>
        <v/>
      </c>
      <c r="N28" s="176"/>
      <c r="O28" s="286"/>
    </row>
    <row r="29" spans="1:15" hidden="1" x14ac:dyDescent="0.2">
      <c r="A29" s="179">
        <v>18</v>
      </c>
      <c r="B29" s="264"/>
      <c r="C29" s="264"/>
      <c r="D29" s="264"/>
      <c r="E29" s="179"/>
      <c r="F29" s="179"/>
      <c r="G29" s="179"/>
      <c r="H29" s="179"/>
      <c r="I29" s="180"/>
      <c r="J29" s="179"/>
      <c r="K29" s="179"/>
      <c r="L29" s="181"/>
      <c r="M29" s="181" t="str">
        <f t="shared" si="0"/>
        <v/>
      </c>
      <c r="N29" s="179"/>
      <c r="O29" s="286"/>
    </row>
    <row r="30" spans="1:15" hidden="1" x14ac:dyDescent="0.2">
      <c r="A30" s="176">
        <v>19</v>
      </c>
      <c r="B30" s="263"/>
      <c r="C30" s="263"/>
      <c r="D30" s="263"/>
      <c r="E30" s="176"/>
      <c r="F30" s="176"/>
      <c r="G30" s="176"/>
      <c r="H30" s="176"/>
      <c r="I30" s="177"/>
      <c r="J30" s="176"/>
      <c r="K30" s="176"/>
      <c r="L30" s="178"/>
      <c r="M30" s="178" t="str">
        <f t="shared" si="0"/>
        <v/>
      </c>
      <c r="N30" s="176"/>
      <c r="O30" s="286"/>
    </row>
    <row r="31" spans="1:15" hidden="1" x14ac:dyDescent="0.2">
      <c r="A31" s="179">
        <v>20</v>
      </c>
      <c r="B31" s="264"/>
      <c r="C31" s="264"/>
      <c r="D31" s="264"/>
      <c r="E31" s="179"/>
      <c r="F31" s="179"/>
      <c r="G31" s="179"/>
      <c r="H31" s="179"/>
      <c r="I31" s="180"/>
      <c r="J31" s="179"/>
      <c r="K31" s="179"/>
      <c r="L31" s="181"/>
      <c r="M31" s="181" t="str">
        <f t="shared" si="0"/>
        <v/>
      </c>
      <c r="N31" s="179"/>
      <c r="O31" s="286"/>
    </row>
    <row r="32" spans="1:15" x14ac:dyDescent="0.2">
      <c r="O32" s="266"/>
    </row>
    <row r="33" spans="1:15" x14ac:dyDescent="0.2">
      <c r="A33" s="333" t="s">
        <v>196</v>
      </c>
      <c r="B33" s="334"/>
      <c r="C33" s="334"/>
      <c r="D33" s="334"/>
      <c r="E33" s="334"/>
      <c r="F33" s="334"/>
      <c r="G33" s="334"/>
      <c r="H33" s="334"/>
      <c r="I33" s="334"/>
      <c r="J33" s="334"/>
      <c r="K33" s="334"/>
      <c r="L33" s="334"/>
      <c r="M33" s="334"/>
      <c r="N33" s="334"/>
      <c r="O33" s="334"/>
    </row>
    <row r="34" spans="1:15" x14ac:dyDescent="0.2">
      <c r="A34" s="335" t="s">
        <v>197</v>
      </c>
      <c r="B34" s="334"/>
      <c r="C34" s="334"/>
      <c r="D34" s="335" t="s">
        <v>198</v>
      </c>
      <c r="E34" s="334"/>
      <c r="F34" s="334"/>
      <c r="G34" s="335" t="s">
        <v>199</v>
      </c>
      <c r="H34" s="335"/>
      <c r="I34" s="334"/>
      <c r="J34" s="334"/>
      <c r="K34" s="334"/>
      <c r="L34" s="335" t="s">
        <v>188</v>
      </c>
      <c r="M34" s="334"/>
      <c r="N34" s="334"/>
      <c r="O34" s="334"/>
    </row>
    <row r="35" spans="1:15" ht="27" customHeight="1" x14ac:dyDescent="0.2">
      <c r="A35" s="322" t="s">
        <v>200</v>
      </c>
      <c r="B35" s="323"/>
      <c r="C35" s="323"/>
      <c r="D35" s="327"/>
      <c r="E35" s="328"/>
      <c r="F35" s="328"/>
      <c r="G35" s="327" t="s">
        <v>347</v>
      </c>
      <c r="H35" s="327"/>
      <c r="I35" s="328"/>
      <c r="J35" s="328"/>
      <c r="K35" s="328"/>
      <c r="L35" s="329"/>
      <c r="M35" s="328"/>
      <c r="N35" s="328"/>
      <c r="O35" s="328"/>
    </row>
    <row r="36" spans="1:15" ht="27" customHeight="1" x14ac:dyDescent="0.2">
      <c r="A36" s="322" t="s">
        <v>201</v>
      </c>
      <c r="B36" s="323"/>
      <c r="C36" s="323"/>
      <c r="D36" s="327"/>
      <c r="E36" s="328"/>
      <c r="F36" s="328"/>
      <c r="G36" s="327"/>
      <c r="H36" s="327"/>
      <c r="I36" s="328"/>
      <c r="J36" s="328"/>
      <c r="K36" s="328"/>
      <c r="L36" s="329"/>
      <c r="M36" s="328"/>
      <c r="N36" s="328"/>
      <c r="O36" s="328"/>
    </row>
    <row r="37" spans="1:15" ht="27" customHeight="1" x14ac:dyDescent="0.2">
      <c r="A37" s="322" t="s">
        <v>202</v>
      </c>
      <c r="B37" s="323"/>
      <c r="C37" s="323"/>
      <c r="D37" s="327"/>
      <c r="E37" s="328"/>
      <c r="F37" s="328"/>
      <c r="G37" s="327"/>
      <c r="H37" s="327"/>
      <c r="I37" s="328"/>
      <c r="J37" s="328"/>
      <c r="K37" s="328"/>
      <c r="L37" s="329"/>
      <c r="M37" s="328"/>
      <c r="N37" s="328"/>
      <c r="O37" s="328"/>
    </row>
    <row r="38" spans="1:15" ht="27" customHeight="1" x14ac:dyDescent="0.2">
      <c r="A38" s="322" t="s">
        <v>203</v>
      </c>
      <c r="B38" s="323"/>
      <c r="C38" s="323"/>
      <c r="D38" s="327"/>
      <c r="E38" s="328"/>
      <c r="F38" s="328"/>
      <c r="G38" s="327"/>
      <c r="H38" s="327"/>
      <c r="I38" s="328"/>
      <c r="J38" s="328"/>
      <c r="K38" s="328"/>
      <c r="L38" s="329"/>
      <c r="M38" s="328"/>
      <c r="N38" s="328"/>
      <c r="O38" s="328"/>
    </row>
    <row r="39" spans="1:15" ht="27" customHeight="1" x14ac:dyDescent="0.2">
      <c r="A39" s="322" t="s">
        <v>204</v>
      </c>
      <c r="B39" s="323"/>
      <c r="C39" s="323"/>
      <c r="D39" s="327"/>
      <c r="E39" s="328"/>
      <c r="F39" s="328"/>
      <c r="G39" s="327"/>
      <c r="H39" s="327"/>
      <c r="I39" s="328"/>
      <c r="J39" s="328"/>
      <c r="K39" s="328"/>
      <c r="L39" s="329"/>
      <c r="M39" s="328"/>
      <c r="N39" s="328"/>
      <c r="O39" s="328"/>
    </row>
    <row r="40" spans="1:15" hidden="1" x14ac:dyDescent="0.2"/>
    <row r="41" spans="1:15" hidden="1" x14ac:dyDescent="0.2">
      <c r="A41" s="333" t="s">
        <v>205</v>
      </c>
      <c r="B41" s="334"/>
      <c r="C41" s="334"/>
      <c r="D41" s="334"/>
      <c r="E41" s="334"/>
      <c r="F41" s="334"/>
      <c r="G41" s="334"/>
      <c r="H41" s="334"/>
      <c r="I41" s="334"/>
      <c r="J41" s="334"/>
      <c r="K41" s="334"/>
      <c r="L41" s="334"/>
      <c r="M41" s="334"/>
      <c r="N41" s="334"/>
      <c r="O41" s="334"/>
    </row>
    <row r="42" spans="1:15" hidden="1" x14ac:dyDescent="0.2">
      <c r="A42" s="335" t="s">
        <v>206</v>
      </c>
      <c r="B42" s="334"/>
      <c r="C42" s="334"/>
      <c r="D42" s="334"/>
      <c r="E42" s="336" t="s">
        <v>207</v>
      </c>
      <c r="F42" s="337"/>
      <c r="G42" s="337"/>
      <c r="H42" s="338"/>
      <c r="I42" s="335" t="s">
        <v>208</v>
      </c>
      <c r="J42" s="334"/>
      <c r="K42" s="334"/>
      <c r="L42" s="335" t="s">
        <v>188</v>
      </c>
      <c r="M42" s="334"/>
      <c r="N42" s="334"/>
      <c r="O42" s="334"/>
    </row>
    <row r="43" spans="1:15" hidden="1" x14ac:dyDescent="0.2">
      <c r="A43" s="322" t="s">
        <v>209</v>
      </c>
      <c r="B43" s="323"/>
      <c r="C43" s="323"/>
      <c r="D43" s="323"/>
      <c r="E43" s="324"/>
      <c r="F43" s="325"/>
      <c r="G43" s="325"/>
      <c r="H43" s="326"/>
      <c r="I43" s="327"/>
      <c r="J43" s="328"/>
      <c r="K43" s="328"/>
      <c r="L43" s="329"/>
      <c r="M43" s="328"/>
      <c r="N43" s="328"/>
      <c r="O43" s="328"/>
    </row>
    <row r="44" spans="1:15" hidden="1" x14ac:dyDescent="0.2">
      <c r="A44" s="322" t="s">
        <v>210</v>
      </c>
      <c r="B44" s="323"/>
      <c r="C44" s="323"/>
      <c r="D44" s="323"/>
      <c r="E44" s="324"/>
      <c r="F44" s="325"/>
      <c r="G44" s="325"/>
      <c r="H44" s="326"/>
      <c r="I44" s="327"/>
      <c r="J44" s="328"/>
      <c r="K44" s="328"/>
      <c r="L44" s="329"/>
      <c r="M44" s="328"/>
      <c r="N44" s="328"/>
      <c r="O44" s="328"/>
    </row>
    <row r="45" spans="1:15" hidden="1" x14ac:dyDescent="0.2">
      <c r="A45" s="322" t="s">
        <v>211</v>
      </c>
      <c r="B45" s="323"/>
      <c r="C45" s="323"/>
      <c r="D45" s="323"/>
      <c r="E45" s="324"/>
      <c r="F45" s="325"/>
      <c r="G45" s="325"/>
      <c r="H45" s="326"/>
      <c r="I45" s="327"/>
      <c r="J45" s="328"/>
      <c r="K45" s="328"/>
      <c r="L45" s="329"/>
      <c r="M45" s="328"/>
      <c r="N45" s="328"/>
      <c r="O45" s="328"/>
    </row>
    <row r="46" spans="1:15" hidden="1" x14ac:dyDescent="0.2">
      <c r="A46" s="322" t="s">
        <v>212</v>
      </c>
      <c r="B46" s="323"/>
      <c r="C46" s="323"/>
      <c r="D46" s="323"/>
      <c r="E46" s="324"/>
      <c r="F46" s="325"/>
      <c r="G46" s="325"/>
      <c r="H46" s="326"/>
      <c r="I46" s="327"/>
      <c r="J46" s="328"/>
      <c r="K46" s="328"/>
      <c r="L46" s="329"/>
      <c r="M46" s="328"/>
      <c r="N46" s="328"/>
      <c r="O46" s="328"/>
    </row>
    <row r="47" spans="1:15" hidden="1" x14ac:dyDescent="0.2">
      <c r="A47" s="322" t="s">
        <v>213</v>
      </c>
      <c r="B47" s="323"/>
      <c r="C47" s="323"/>
      <c r="D47" s="323"/>
      <c r="E47" s="324"/>
      <c r="F47" s="325"/>
      <c r="G47" s="325"/>
      <c r="H47" s="326"/>
      <c r="I47" s="327"/>
      <c r="J47" s="328"/>
      <c r="K47" s="328"/>
      <c r="L47" s="329"/>
      <c r="M47" s="328"/>
      <c r="N47" s="328"/>
      <c r="O47" s="328"/>
    </row>
    <row r="48" spans="1:15" hidden="1" x14ac:dyDescent="0.2"/>
    <row r="49" spans="1:15" hidden="1" x14ac:dyDescent="0.2">
      <c r="A49" s="330" t="s">
        <v>214</v>
      </c>
      <c r="B49" s="331"/>
      <c r="C49" s="331"/>
      <c r="D49" s="331"/>
      <c r="E49" s="331"/>
      <c r="F49" s="331"/>
      <c r="G49" s="331"/>
      <c r="H49" s="331"/>
      <c r="I49" s="331"/>
      <c r="J49" s="331"/>
      <c r="K49" s="331"/>
      <c r="L49" s="331"/>
      <c r="M49" s="331"/>
      <c r="N49" s="331"/>
      <c r="O49" s="331"/>
    </row>
    <row r="50" spans="1:15" hidden="1" x14ac:dyDescent="0.2">
      <c r="A50" s="332" t="s">
        <v>215</v>
      </c>
      <c r="B50" s="328"/>
      <c r="C50" s="328"/>
      <c r="D50" s="328"/>
      <c r="E50" s="328"/>
      <c r="F50" s="328"/>
      <c r="G50" s="328"/>
      <c r="H50" s="328"/>
      <c r="I50" s="328"/>
      <c r="J50" s="328"/>
      <c r="K50" s="328"/>
      <c r="L50" s="328"/>
      <c r="M50" s="328"/>
      <c r="N50" s="328"/>
      <c r="O50" s="328"/>
    </row>
    <row r="51" spans="1:15" hidden="1" x14ac:dyDescent="0.2">
      <c r="A51" s="328"/>
      <c r="B51" s="328"/>
      <c r="C51" s="328"/>
      <c r="D51" s="328"/>
      <c r="E51" s="328"/>
      <c r="F51" s="328"/>
      <c r="G51" s="328"/>
      <c r="H51" s="328"/>
      <c r="I51" s="328"/>
      <c r="J51" s="328"/>
      <c r="K51" s="328"/>
      <c r="L51" s="328"/>
      <c r="M51" s="328"/>
      <c r="N51" s="328"/>
      <c r="O51" s="328"/>
    </row>
    <row r="52" spans="1:15" hidden="1" x14ac:dyDescent="0.2">
      <c r="A52" s="328"/>
      <c r="B52" s="328"/>
      <c r="C52" s="328"/>
      <c r="D52" s="328"/>
      <c r="E52" s="328"/>
      <c r="F52" s="328"/>
      <c r="G52" s="328"/>
      <c r="H52" s="328"/>
      <c r="I52" s="328"/>
      <c r="J52" s="328"/>
      <c r="K52" s="328"/>
      <c r="L52" s="328"/>
      <c r="M52" s="328"/>
      <c r="N52" s="328"/>
      <c r="O52" s="328"/>
    </row>
    <row r="53" spans="1:15" ht="6.4" hidden="1" customHeight="1" x14ac:dyDescent="0.2">
      <c r="A53" s="328"/>
      <c r="B53" s="328"/>
      <c r="C53" s="328"/>
      <c r="D53" s="328"/>
      <c r="E53" s="328"/>
      <c r="F53" s="328"/>
      <c r="G53" s="328"/>
      <c r="H53" s="328"/>
      <c r="I53" s="328"/>
      <c r="J53" s="328"/>
      <c r="K53" s="328"/>
      <c r="L53" s="328"/>
      <c r="M53" s="328"/>
      <c r="N53" s="328"/>
      <c r="O53" s="328"/>
    </row>
    <row r="54" spans="1:15" x14ac:dyDescent="0.2">
      <c r="J54" s="282" t="s">
        <v>216</v>
      </c>
      <c r="K54" s="182"/>
      <c r="L54" s="182"/>
      <c r="M54" s="182"/>
      <c r="N54" s="182"/>
      <c r="O54" s="182"/>
    </row>
  </sheetData>
  <mergeCells count="63">
    <mergeCell ref="A8:C8"/>
    <mergeCell ref="D8:O8"/>
    <mergeCell ref="A5:O5"/>
    <mergeCell ref="A6:C6"/>
    <mergeCell ref="D6:O6"/>
    <mergeCell ref="A7:C7"/>
    <mergeCell ref="D7:O7"/>
    <mergeCell ref="A37:C37"/>
    <mergeCell ref="D37:F37"/>
    <mergeCell ref="G37:K37"/>
    <mergeCell ref="L37:O37"/>
    <mergeCell ref="A9:C9"/>
    <mergeCell ref="D9:O9"/>
    <mergeCell ref="A11:O11"/>
    <mergeCell ref="A33:O33"/>
    <mergeCell ref="A34:C34"/>
    <mergeCell ref="D34:F34"/>
    <mergeCell ref="G34:K34"/>
    <mergeCell ref="L34:O34"/>
    <mergeCell ref="N13:N20"/>
    <mergeCell ref="A35:C35"/>
    <mergeCell ref="D35:F35"/>
    <mergeCell ref="G35:K35"/>
    <mergeCell ref="L35:O35"/>
    <mergeCell ref="A36:C36"/>
    <mergeCell ref="D36:F36"/>
    <mergeCell ref="G36:K36"/>
    <mergeCell ref="L36:O36"/>
    <mergeCell ref="A42:D42"/>
    <mergeCell ref="E42:H42"/>
    <mergeCell ref="I42:K42"/>
    <mergeCell ref="L42:O42"/>
    <mergeCell ref="A38:C38"/>
    <mergeCell ref="D38:F38"/>
    <mergeCell ref="G38:K38"/>
    <mergeCell ref="L38:O38"/>
    <mergeCell ref="A41:O41"/>
    <mergeCell ref="A39:C39"/>
    <mergeCell ref="D39:F39"/>
    <mergeCell ref="G39:K39"/>
    <mergeCell ref="L39:O39"/>
    <mergeCell ref="A43:D43"/>
    <mergeCell ref="E43:H43"/>
    <mergeCell ref="I43:K43"/>
    <mergeCell ref="L43:O43"/>
    <mergeCell ref="A44:D44"/>
    <mergeCell ref="E44:H44"/>
    <mergeCell ref="I44:K44"/>
    <mergeCell ref="L44:O44"/>
    <mergeCell ref="A50:O53"/>
    <mergeCell ref="A45:D45"/>
    <mergeCell ref="E45:H45"/>
    <mergeCell ref="I45:K45"/>
    <mergeCell ref="L45:O45"/>
    <mergeCell ref="A46:D46"/>
    <mergeCell ref="E46:H46"/>
    <mergeCell ref="I46:K46"/>
    <mergeCell ref="L46:O46"/>
    <mergeCell ref="A47:D47"/>
    <mergeCell ref="E47:H47"/>
    <mergeCell ref="I47:K47"/>
    <mergeCell ref="L47:O47"/>
    <mergeCell ref="A49:O49"/>
  </mergeCells>
  <conditionalFormatting sqref="A13:N13 A14:C14 E14:M14 O14:O20 A15:M20 A21:O31">
    <cfRule type="expression" dxfId="87" priority="1">
      <formula>$J13="Khẩn"</formula>
    </cfRule>
    <cfRule type="expression" dxfId="86" priority="2">
      <formula>$J13="Bình thường"</formula>
    </cfRule>
    <cfRule type="expression" dxfId="85" priority="3">
      <formula>$J13="Dự phòng"</formula>
    </cfRule>
    <cfRule type="expression" dxfId="84" priority="4">
      <formula>AND($F13&gt;$G13,$F13&gt;0)</formula>
    </cfRule>
  </conditionalFormatting>
  <conditionalFormatting sqref="D13">
    <cfRule type="expression" dxfId="83" priority="17">
      <formula>$J14="Khẩn"</formula>
    </cfRule>
    <cfRule type="expression" dxfId="82" priority="18">
      <formula>$J14="Bình thường"</formula>
    </cfRule>
    <cfRule type="expression" dxfId="81" priority="19">
      <formula>$J14="Dự phòng"</formula>
    </cfRule>
    <cfRule type="expression" dxfId="80" priority="20">
      <formula>AND($F14&gt;$G14,$F14&gt;0)</formula>
    </cfRule>
  </conditionalFormatting>
  <conditionalFormatting sqref="O16">
    <cfRule type="expression" dxfId="79" priority="9">
      <formula>$J13="Khẩn"</formula>
    </cfRule>
    <cfRule type="expression" dxfId="78" priority="10">
      <formula>$J13="Bình thường"</formula>
    </cfRule>
    <cfRule type="expression" dxfId="77" priority="11">
      <formula>$J13="Dự phòng"</formula>
    </cfRule>
    <cfRule type="expression" dxfId="76" priority="12">
      <formula>AND($F13&gt;$G13,$F13&gt;0)</formula>
    </cfRule>
  </conditionalFormatting>
  <dataValidations count="2">
    <dataValidation type="list" allowBlank="1" showInputMessage="1" showErrorMessage="1" sqref="K13:K31" xr:uid="{F5540BCF-A652-43C1-BD4E-D2A71BE03149}">
      <formula1>"CCDC,NPL,Tiêu hao"</formula1>
    </dataValidation>
    <dataValidation type="list" allowBlank="1" showInputMessage="1" showErrorMessage="1" sqref="J13:J31" xr:uid="{82D390BE-3C93-4C74-9902-8509181F4F11}">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AFBACA1-024B-478B-AD30-9E92C61D86F6}">
          <x14:formula1>
            <xm:f>DATA!$B:$B</xm:f>
          </x14:formula1>
          <xm:sqref>E13:E31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3FBB-21C8-4096-9E5E-7DAA61880E5F}">
  <dimension ref="A1:Q41"/>
  <sheetViews>
    <sheetView topLeftCell="A3" zoomScaleNormal="100" zoomScaleSheetLayoutView="100" workbookViewId="0">
      <selection activeCell="B14" sqref="B14"/>
    </sheetView>
  </sheetViews>
  <sheetFormatPr defaultColWidth="8.5703125" defaultRowHeight="15.75" x14ac:dyDescent="0.2"/>
  <cols>
    <col min="1" max="1" width="4.140625" style="171" customWidth="1"/>
    <col min="2" max="2" width="27" style="171" customWidth="1"/>
    <col min="3" max="3" width="0.7109375" style="171" hidden="1" customWidth="1"/>
    <col min="4" max="4" width="29"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97" t="s">
        <v>361</v>
      </c>
      <c r="O2" s="283" t="str">
        <f ca="1">P2&amp;"/PRD-MRF/"&amp;TEXT(O3,"MMYY")&amp;Q2</f>
        <v>82/PRD-MRF/0526</v>
      </c>
      <c r="P2" s="277">
        <v>82</v>
      </c>
      <c r="Q2" s="278"/>
    </row>
    <row r="3" spans="1:17" ht="31.5" x14ac:dyDescent="0.2">
      <c r="A3" s="269"/>
      <c r="B3" s="270"/>
      <c r="C3" s="270"/>
      <c r="D3" s="271" t="s">
        <v>166</v>
      </c>
      <c r="E3" s="276"/>
      <c r="F3" s="272"/>
      <c r="G3" s="272"/>
      <c r="H3" s="272"/>
      <c r="I3" s="272"/>
      <c r="J3" s="272"/>
      <c r="K3" s="273"/>
      <c r="L3" s="174"/>
      <c r="M3" s="174"/>
      <c r="N3" s="296"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358</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29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ht="31.5" x14ac:dyDescent="0.2">
      <c r="A13" s="293">
        <v>1</v>
      </c>
      <c r="B13" s="292" t="s">
        <v>350</v>
      </c>
      <c r="C13" s="286"/>
      <c r="D13" s="286" t="s">
        <v>351</v>
      </c>
      <c r="E13" s="285" t="s">
        <v>231</v>
      </c>
      <c r="F13" s="285">
        <v>2000</v>
      </c>
      <c r="G13" s="285">
        <v>0</v>
      </c>
      <c r="H13" s="285"/>
      <c r="I13" s="287"/>
      <c r="J13" s="285" t="s">
        <v>189</v>
      </c>
      <c r="K13" s="285" t="s">
        <v>195</v>
      </c>
      <c r="L13" s="288"/>
      <c r="M13" s="288" t="str">
        <f t="shared" ref="M13" si="0">IF(AND(ISNUMBER(F13),ISNUMBER(L13)),F13*L13,"")</f>
        <v/>
      </c>
      <c r="N13" s="309" t="s">
        <v>359</v>
      </c>
      <c r="O13" s="289"/>
    </row>
    <row r="14" spans="1:17" ht="31.5" x14ac:dyDescent="0.2">
      <c r="A14" s="293">
        <v>2</v>
      </c>
      <c r="B14" s="292" t="s">
        <v>350</v>
      </c>
      <c r="C14" s="286"/>
      <c r="D14" s="286" t="s">
        <v>352</v>
      </c>
      <c r="E14" s="285" t="s">
        <v>231</v>
      </c>
      <c r="F14" s="285">
        <v>2000</v>
      </c>
      <c r="G14" s="285">
        <v>0</v>
      </c>
      <c r="H14" s="285"/>
      <c r="I14" s="287"/>
      <c r="J14" s="285" t="s">
        <v>189</v>
      </c>
      <c r="K14" s="285" t="s">
        <v>195</v>
      </c>
      <c r="L14" s="288"/>
      <c r="M14" s="288"/>
      <c r="N14" s="310"/>
      <c r="O14" s="289"/>
    </row>
    <row r="15" spans="1:17" ht="31.5" x14ac:dyDescent="0.2">
      <c r="A15" s="294">
        <v>3</v>
      </c>
      <c r="B15" s="292" t="s">
        <v>350</v>
      </c>
      <c r="C15" s="286"/>
      <c r="D15" s="286" t="s">
        <v>360</v>
      </c>
      <c r="E15" s="285" t="s">
        <v>231</v>
      </c>
      <c r="F15" s="285">
        <v>2000</v>
      </c>
      <c r="G15" s="285">
        <v>0</v>
      </c>
      <c r="H15" s="285"/>
      <c r="I15" s="287"/>
      <c r="J15" s="285" t="s">
        <v>189</v>
      </c>
      <c r="K15" s="285" t="s">
        <v>195</v>
      </c>
      <c r="L15" s="288"/>
      <c r="M15" s="288"/>
      <c r="N15" s="311"/>
      <c r="O15" s="289"/>
    </row>
    <row r="16" spans="1:17" ht="31.5" x14ac:dyDescent="0.2">
      <c r="A16" s="293">
        <v>4</v>
      </c>
      <c r="B16" s="292" t="s">
        <v>353</v>
      </c>
      <c r="C16" s="286"/>
      <c r="D16" s="286" t="s">
        <v>354</v>
      </c>
      <c r="E16" s="285" t="s">
        <v>323</v>
      </c>
      <c r="F16" s="285">
        <v>3</v>
      </c>
      <c r="G16" s="285">
        <v>0</v>
      </c>
      <c r="H16" s="285"/>
      <c r="I16" s="287"/>
      <c r="J16" s="285" t="s">
        <v>189</v>
      </c>
      <c r="K16" s="285" t="s">
        <v>193</v>
      </c>
      <c r="L16" s="288"/>
      <c r="M16" s="288"/>
      <c r="N16" s="285"/>
      <c r="O16" s="289"/>
    </row>
    <row r="17" spans="1:15" ht="31.5" x14ac:dyDescent="0.2">
      <c r="A17" s="293">
        <v>5</v>
      </c>
      <c r="B17" s="292" t="s">
        <v>353</v>
      </c>
      <c r="C17" s="286"/>
      <c r="D17" s="286" t="s">
        <v>355</v>
      </c>
      <c r="E17" s="285" t="s">
        <v>323</v>
      </c>
      <c r="F17" s="285">
        <v>3</v>
      </c>
      <c r="G17" s="285">
        <v>0</v>
      </c>
      <c r="H17" s="285"/>
      <c r="I17" s="287"/>
      <c r="J17" s="285" t="s">
        <v>189</v>
      </c>
      <c r="K17" s="285" t="s">
        <v>193</v>
      </c>
      <c r="L17" s="288"/>
      <c r="M17" s="288"/>
      <c r="N17" s="285"/>
      <c r="O17" s="289"/>
    </row>
    <row r="18" spans="1:15" ht="31.5" x14ac:dyDescent="0.2">
      <c r="A18" s="293">
        <v>6</v>
      </c>
      <c r="B18" s="292" t="s">
        <v>353</v>
      </c>
      <c r="C18" s="286"/>
      <c r="D18" s="286" t="s">
        <v>356</v>
      </c>
      <c r="E18" s="285" t="s">
        <v>323</v>
      </c>
      <c r="F18" s="285">
        <v>3</v>
      </c>
      <c r="G18" s="285">
        <v>0</v>
      </c>
      <c r="H18" s="285"/>
      <c r="I18" s="287"/>
      <c r="J18" s="285" t="s">
        <v>189</v>
      </c>
      <c r="K18" s="285" t="s">
        <v>193</v>
      </c>
      <c r="L18" s="288"/>
      <c r="M18" s="288"/>
      <c r="N18" s="285"/>
      <c r="O18" s="289"/>
    </row>
    <row r="19" spans="1:15" ht="31.5" x14ac:dyDescent="0.2">
      <c r="A19" s="293">
        <v>7</v>
      </c>
      <c r="B19" s="292" t="s">
        <v>353</v>
      </c>
      <c r="C19" s="286"/>
      <c r="D19" s="286" t="s">
        <v>357</v>
      </c>
      <c r="E19" s="285" t="s">
        <v>323</v>
      </c>
      <c r="F19" s="285">
        <v>3</v>
      </c>
      <c r="G19" s="285">
        <v>0</v>
      </c>
      <c r="H19" s="285"/>
      <c r="I19" s="287"/>
      <c r="J19" s="285" t="s">
        <v>189</v>
      </c>
      <c r="K19" s="285" t="s">
        <v>193</v>
      </c>
      <c r="L19" s="288"/>
      <c r="M19" s="288"/>
      <c r="N19" s="285"/>
      <c r="O19" s="289"/>
    </row>
    <row r="20" spans="1:15" x14ac:dyDescent="0.2">
      <c r="A20" s="341" t="s">
        <v>196</v>
      </c>
      <c r="B20" s="334"/>
      <c r="C20" s="334"/>
      <c r="D20" s="334"/>
      <c r="E20" s="334"/>
      <c r="F20" s="334"/>
      <c r="G20" s="334"/>
      <c r="H20" s="334"/>
      <c r="I20" s="334"/>
      <c r="J20" s="334"/>
      <c r="K20" s="334"/>
      <c r="L20" s="334"/>
      <c r="M20" s="334"/>
      <c r="N20" s="334"/>
      <c r="O20" s="334"/>
    </row>
    <row r="21" spans="1:15" x14ac:dyDescent="0.2">
      <c r="A21" s="335" t="s">
        <v>197</v>
      </c>
      <c r="B21" s="334"/>
      <c r="C21" s="334"/>
      <c r="D21" s="335" t="s">
        <v>198</v>
      </c>
      <c r="E21" s="334"/>
      <c r="F21" s="334"/>
      <c r="G21" s="335" t="s">
        <v>199</v>
      </c>
      <c r="H21" s="335"/>
      <c r="I21" s="334"/>
      <c r="J21" s="334"/>
      <c r="K21" s="334"/>
      <c r="L21" s="335" t="s">
        <v>188</v>
      </c>
      <c r="M21" s="334"/>
      <c r="N21" s="334"/>
      <c r="O21" s="334"/>
    </row>
    <row r="22" spans="1:15" ht="27" customHeight="1" x14ac:dyDescent="0.2">
      <c r="A22" s="322" t="s">
        <v>200</v>
      </c>
      <c r="B22" s="323"/>
      <c r="C22" s="323"/>
      <c r="D22" s="327"/>
      <c r="E22" s="328"/>
      <c r="F22" s="328"/>
      <c r="G22" s="327" t="s">
        <v>347</v>
      </c>
      <c r="H22" s="327"/>
      <c r="I22" s="328"/>
      <c r="J22" s="328"/>
      <c r="K22" s="328"/>
      <c r="L22" s="329"/>
      <c r="M22" s="328"/>
      <c r="N22" s="328"/>
      <c r="O22" s="328"/>
    </row>
    <row r="23" spans="1:15" ht="27" customHeight="1" x14ac:dyDescent="0.2">
      <c r="A23" s="322" t="s">
        <v>201</v>
      </c>
      <c r="B23" s="323"/>
      <c r="C23" s="323"/>
      <c r="D23" s="327"/>
      <c r="E23" s="328"/>
      <c r="F23" s="328"/>
      <c r="G23" s="327"/>
      <c r="H23" s="327"/>
      <c r="I23" s="328"/>
      <c r="J23" s="328"/>
      <c r="K23" s="328"/>
      <c r="L23" s="329"/>
      <c r="M23" s="328"/>
      <c r="N23" s="328"/>
      <c r="O23" s="328"/>
    </row>
    <row r="24" spans="1:15" ht="27" customHeight="1" x14ac:dyDescent="0.2">
      <c r="A24" s="322" t="s">
        <v>202</v>
      </c>
      <c r="B24" s="323"/>
      <c r="C24" s="323"/>
      <c r="D24" s="327"/>
      <c r="E24" s="328"/>
      <c r="F24" s="328"/>
      <c r="G24" s="327"/>
      <c r="H24" s="327"/>
      <c r="I24" s="328"/>
      <c r="J24" s="328"/>
      <c r="K24" s="328"/>
      <c r="L24" s="329"/>
      <c r="M24" s="328"/>
      <c r="N24" s="328"/>
      <c r="O24" s="328"/>
    </row>
    <row r="25" spans="1:15" ht="27" customHeight="1" x14ac:dyDescent="0.2">
      <c r="A25" s="322" t="s">
        <v>203</v>
      </c>
      <c r="B25" s="323"/>
      <c r="C25" s="323"/>
      <c r="D25" s="327"/>
      <c r="E25" s="328"/>
      <c r="F25" s="328"/>
      <c r="G25" s="327"/>
      <c r="H25" s="327"/>
      <c r="I25" s="328"/>
      <c r="J25" s="328"/>
      <c r="K25" s="328"/>
      <c r="L25" s="329"/>
      <c r="M25" s="328"/>
      <c r="N25" s="328"/>
      <c r="O25" s="328"/>
    </row>
    <row r="26" spans="1:15" ht="27" customHeight="1" x14ac:dyDescent="0.2">
      <c r="A26" s="322" t="s">
        <v>204</v>
      </c>
      <c r="B26" s="323"/>
      <c r="C26" s="323"/>
      <c r="D26" s="327"/>
      <c r="E26" s="328"/>
      <c r="F26" s="328"/>
      <c r="G26" s="327"/>
      <c r="H26" s="327"/>
      <c r="I26" s="328"/>
      <c r="J26" s="328"/>
      <c r="K26" s="328"/>
      <c r="L26" s="329"/>
      <c r="M26" s="328"/>
      <c r="N26" s="328"/>
      <c r="O26" s="328"/>
    </row>
    <row r="27" spans="1:15" hidden="1" x14ac:dyDescent="0.2"/>
    <row r="28" spans="1:15" hidden="1" x14ac:dyDescent="0.2">
      <c r="A28" s="333" t="s">
        <v>205</v>
      </c>
      <c r="B28" s="334"/>
      <c r="C28" s="334"/>
      <c r="D28" s="334"/>
      <c r="E28" s="334"/>
      <c r="F28" s="334"/>
      <c r="G28" s="334"/>
      <c r="H28" s="334"/>
      <c r="I28" s="334"/>
      <c r="J28" s="334"/>
      <c r="K28" s="334"/>
      <c r="L28" s="334"/>
      <c r="M28" s="334"/>
      <c r="N28" s="334"/>
      <c r="O28" s="334"/>
    </row>
    <row r="29" spans="1:15" hidden="1" x14ac:dyDescent="0.2">
      <c r="A29" s="335" t="s">
        <v>206</v>
      </c>
      <c r="B29" s="334"/>
      <c r="C29" s="334"/>
      <c r="D29" s="334"/>
      <c r="E29" s="336" t="s">
        <v>207</v>
      </c>
      <c r="F29" s="337"/>
      <c r="G29" s="337"/>
      <c r="H29" s="338"/>
      <c r="I29" s="335" t="s">
        <v>208</v>
      </c>
      <c r="J29" s="334"/>
      <c r="K29" s="334"/>
      <c r="L29" s="335" t="s">
        <v>188</v>
      </c>
      <c r="M29" s="334"/>
      <c r="N29" s="334"/>
      <c r="O29" s="334"/>
    </row>
    <row r="30" spans="1:15" hidden="1" x14ac:dyDescent="0.2">
      <c r="A30" s="322" t="s">
        <v>209</v>
      </c>
      <c r="B30" s="323"/>
      <c r="C30" s="323"/>
      <c r="D30" s="323"/>
      <c r="E30" s="324"/>
      <c r="F30" s="325"/>
      <c r="G30" s="325"/>
      <c r="H30" s="326"/>
      <c r="I30" s="327"/>
      <c r="J30" s="328"/>
      <c r="K30" s="328"/>
      <c r="L30" s="329"/>
      <c r="M30" s="328"/>
      <c r="N30" s="328"/>
      <c r="O30" s="328"/>
    </row>
    <row r="31" spans="1:15" hidden="1" x14ac:dyDescent="0.2">
      <c r="A31" s="322" t="s">
        <v>210</v>
      </c>
      <c r="B31" s="323"/>
      <c r="C31" s="323"/>
      <c r="D31" s="323"/>
      <c r="E31" s="324"/>
      <c r="F31" s="325"/>
      <c r="G31" s="325"/>
      <c r="H31" s="326"/>
      <c r="I31" s="327"/>
      <c r="J31" s="328"/>
      <c r="K31" s="328"/>
      <c r="L31" s="329"/>
      <c r="M31" s="328"/>
      <c r="N31" s="328"/>
      <c r="O31" s="328"/>
    </row>
    <row r="32" spans="1:15" hidden="1" x14ac:dyDescent="0.2">
      <c r="A32" s="322" t="s">
        <v>211</v>
      </c>
      <c r="B32" s="323"/>
      <c r="C32" s="323"/>
      <c r="D32" s="323"/>
      <c r="E32" s="324"/>
      <c r="F32" s="325"/>
      <c r="G32" s="325"/>
      <c r="H32" s="326"/>
      <c r="I32" s="327"/>
      <c r="J32" s="328"/>
      <c r="K32" s="328"/>
      <c r="L32" s="329"/>
      <c r="M32" s="328"/>
      <c r="N32" s="328"/>
      <c r="O32" s="328"/>
    </row>
    <row r="33" spans="1:15" hidden="1" x14ac:dyDescent="0.2">
      <c r="A33" s="322" t="s">
        <v>212</v>
      </c>
      <c r="B33" s="323"/>
      <c r="C33" s="323"/>
      <c r="D33" s="323"/>
      <c r="E33" s="324"/>
      <c r="F33" s="325"/>
      <c r="G33" s="325"/>
      <c r="H33" s="326"/>
      <c r="I33" s="327"/>
      <c r="J33" s="328"/>
      <c r="K33" s="328"/>
      <c r="L33" s="329"/>
      <c r="M33" s="328"/>
      <c r="N33" s="328"/>
      <c r="O33" s="328"/>
    </row>
    <row r="34" spans="1:15" hidden="1" x14ac:dyDescent="0.2">
      <c r="A34" s="322" t="s">
        <v>213</v>
      </c>
      <c r="B34" s="323"/>
      <c r="C34" s="323"/>
      <c r="D34" s="323"/>
      <c r="E34" s="324"/>
      <c r="F34" s="325"/>
      <c r="G34" s="325"/>
      <c r="H34" s="326"/>
      <c r="I34" s="327"/>
      <c r="J34" s="328"/>
      <c r="K34" s="328"/>
      <c r="L34" s="329"/>
      <c r="M34" s="328"/>
      <c r="N34" s="328"/>
      <c r="O34" s="328"/>
    </row>
    <row r="35" spans="1:15" hidden="1" x14ac:dyDescent="0.2"/>
    <row r="36" spans="1:15" hidden="1" x14ac:dyDescent="0.2">
      <c r="A36" s="330" t="s">
        <v>214</v>
      </c>
      <c r="B36" s="331"/>
      <c r="C36" s="331"/>
      <c r="D36" s="331"/>
      <c r="E36" s="331"/>
      <c r="F36" s="331"/>
      <c r="G36" s="331"/>
      <c r="H36" s="331"/>
      <c r="I36" s="331"/>
      <c r="J36" s="331"/>
      <c r="K36" s="331"/>
      <c r="L36" s="331"/>
      <c r="M36" s="331"/>
      <c r="N36" s="331"/>
      <c r="O36" s="331"/>
    </row>
    <row r="37" spans="1:15" hidden="1" x14ac:dyDescent="0.2">
      <c r="A37" s="332" t="s">
        <v>215</v>
      </c>
      <c r="B37" s="328"/>
      <c r="C37" s="328"/>
      <c r="D37" s="328"/>
      <c r="E37" s="328"/>
      <c r="F37" s="328"/>
      <c r="G37" s="328"/>
      <c r="H37" s="328"/>
      <c r="I37" s="328"/>
      <c r="J37" s="328"/>
      <c r="K37" s="328"/>
      <c r="L37" s="328"/>
      <c r="M37" s="328"/>
      <c r="N37" s="328"/>
      <c r="O37" s="328"/>
    </row>
    <row r="38" spans="1:15" hidden="1" x14ac:dyDescent="0.2">
      <c r="A38" s="328"/>
      <c r="B38" s="328"/>
      <c r="C38" s="328"/>
      <c r="D38" s="328"/>
      <c r="E38" s="328"/>
      <c r="F38" s="328"/>
      <c r="G38" s="328"/>
      <c r="H38" s="328"/>
      <c r="I38" s="328"/>
      <c r="J38" s="328"/>
      <c r="K38" s="328"/>
      <c r="L38" s="328"/>
      <c r="M38" s="328"/>
      <c r="N38" s="328"/>
      <c r="O38" s="328"/>
    </row>
    <row r="39" spans="1:15" hidden="1" x14ac:dyDescent="0.2">
      <c r="A39" s="328"/>
      <c r="B39" s="328"/>
      <c r="C39" s="328"/>
      <c r="D39" s="328"/>
      <c r="E39" s="328"/>
      <c r="F39" s="328"/>
      <c r="G39" s="328"/>
      <c r="H39" s="328"/>
      <c r="I39" s="328"/>
      <c r="J39" s="328"/>
      <c r="K39" s="328"/>
      <c r="L39" s="328"/>
      <c r="M39" s="328"/>
      <c r="N39" s="328"/>
      <c r="O39" s="328"/>
    </row>
    <row r="40" spans="1:15" ht="6.4" hidden="1" customHeight="1" x14ac:dyDescent="0.2">
      <c r="A40" s="328"/>
      <c r="B40" s="328"/>
      <c r="C40" s="328"/>
      <c r="D40" s="328"/>
      <c r="E40" s="328"/>
      <c r="F40" s="328"/>
      <c r="G40" s="328"/>
      <c r="H40" s="328"/>
      <c r="I40" s="328"/>
      <c r="J40" s="328"/>
      <c r="K40" s="328"/>
      <c r="L40" s="328"/>
      <c r="M40" s="328"/>
      <c r="N40" s="328"/>
      <c r="O40" s="328"/>
    </row>
    <row r="41" spans="1:15" x14ac:dyDescent="0.2">
      <c r="J41" s="282" t="s">
        <v>216</v>
      </c>
      <c r="K41" s="182"/>
      <c r="L41" s="182"/>
      <c r="M41" s="182"/>
      <c r="N41" s="182"/>
      <c r="O41" s="182"/>
    </row>
  </sheetData>
  <mergeCells count="63">
    <mergeCell ref="A37:O40"/>
    <mergeCell ref="A32:D32"/>
    <mergeCell ref="E32:H32"/>
    <mergeCell ref="I32:K32"/>
    <mergeCell ref="L32:O32"/>
    <mergeCell ref="A33:D33"/>
    <mergeCell ref="E33:H33"/>
    <mergeCell ref="I33:K33"/>
    <mergeCell ref="L33:O33"/>
    <mergeCell ref="A34:D34"/>
    <mergeCell ref="E34:H34"/>
    <mergeCell ref="I34:K34"/>
    <mergeCell ref="L34:O34"/>
    <mergeCell ref="A36:O36"/>
    <mergeCell ref="A30:D30"/>
    <mergeCell ref="E30:H30"/>
    <mergeCell ref="I30:K30"/>
    <mergeCell ref="L30:O30"/>
    <mergeCell ref="A31:D31"/>
    <mergeCell ref="E31:H31"/>
    <mergeCell ref="I31:K31"/>
    <mergeCell ref="L31:O31"/>
    <mergeCell ref="A29:D29"/>
    <mergeCell ref="E29:H29"/>
    <mergeCell ref="I29:K29"/>
    <mergeCell ref="L29:O29"/>
    <mergeCell ref="A25:C25"/>
    <mergeCell ref="D25:F25"/>
    <mergeCell ref="G25:K25"/>
    <mergeCell ref="L25:O25"/>
    <mergeCell ref="A28:O28"/>
    <mergeCell ref="A26:C26"/>
    <mergeCell ref="D26:F26"/>
    <mergeCell ref="G26:K26"/>
    <mergeCell ref="L26:O26"/>
    <mergeCell ref="L22:O22"/>
    <mergeCell ref="A23:C23"/>
    <mergeCell ref="D23:F23"/>
    <mergeCell ref="G23:K23"/>
    <mergeCell ref="L23:O23"/>
    <mergeCell ref="A24:C24"/>
    <mergeCell ref="D24:F24"/>
    <mergeCell ref="G24:K24"/>
    <mergeCell ref="L24:O24"/>
    <mergeCell ref="A9:C9"/>
    <mergeCell ref="D9:O9"/>
    <mergeCell ref="A11:O11"/>
    <mergeCell ref="A20:O20"/>
    <mergeCell ref="A21:C21"/>
    <mergeCell ref="D21:F21"/>
    <mergeCell ref="G21:K21"/>
    <mergeCell ref="L21:O21"/>
    <mergeCell ref="N13:N15"/>
    <mergeCell ref="A22:C22"/>
    <mergeCell ref="D22:F22"/>
    <mergeCell ref="G22:K22"/>
    <mergeCell ref="A8:C8"/>
    <mergeCell ref="D8:O8"/>
    <mergeCell ref="A5:O5"/>
    <mergeCell ref="A6:C6"/>
    <mergeCell ref="D6:O6"/>
    <mergeCell ref="A7:C7"/>
    <mergeCell ref="D7:O7"/>
  </mergeCells>
  <conditionalFormatting sqref="A13:A14">
    <cfRule type="expression" dxfId="75" priority="25">
      <formula>$J15="Khẩn"</formula>
    </cfRule>
    <cfRule type="expression" dxfId="74" priority="26">
      <formula>$J15="Bình thường"</formula>
    </cfRule>
    <cfRule type="expression" dxfId="73" priority="27">
      <formula>$J15="Dự phòng"</formula>
    </cfRule>
    <cfRule type="expression" dxfId="72" priority="28">
      <formula>AND($F15&gt;$G15,$F15&gt;0)</formula>
    </cfRule>
  </conditionalFormatting>
  <conditionalFormatting sqref="B13:O14 B15:M15 O15 A16:O19">
    <cfRule type="expression" dxfId="71" priority="1">
      <formula>$J13="Khẩn"</formula>
    </cfRule>
    <cfRule type="expression" dxfId="70" priority="2">
      <formula>$J13="Bình thường"</formula>
    </cfRule>
    <cfRule type="expression" dxfId="69" priority="3">
      <formula>$J13="Dự phòng"</formula>
    </cfRule>
    <cfRule type="expression" dxfId="68" priority="4">
      <formula>AND($F13&gt;$G13,$F13&gt;0)</formula>
    </cfRule>
  </conditionalFormatting>
  <dataValidations count="2">
    <dataValidation type="list" allowBlank="1" showInputMessage="1" showErrorMessage="1" sqref="K13:K19" xr:uid="{FA2368A8-8FD8-40CA-980F-86B913C3A543}">
      <formula1>"CCDC,NPL,Tiêu hao"</formula1>
    </dataValidation>
    <dataValidation type="list" allowBlank="1" showInputMessage="1" showErrorMessage="1" sqref="J13:J19" xr:uid="{5FC79AE5-C474-4E2C-8EFF-DB677115B381}">
      <formula1>"Khẩn,Bình thường,Dự phòng"</formula1>
    </dataValidation>
  </dataValidations>
  <pageMargins left="0.25" right="0.25" top="0.75" bottom="0.75" header="0.5" footer="0.3"/>
  <pageSetup scale="80"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6DE9360-A199-476E-97A0-7732CA31A9D4}">
          <x14:formula1>
            <xm:f>DATA!$B:$B</xm:f>
          </x14:formula1>
          <xm:sqref>E13:E19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52E-AE50-49A6-BCD4-1DA66EBFD31C}">
  <dimension ref="A1:Q52"/>
  <sheetViews>
    <sheetView zoomScaleNormal="100" zoomScaleSheetLayoutView="100" workbookViewId="0">
      <selection activeCell="K14" sqref="K14"/>
    </sheetView>
  </sheetViews>
  <sheetFormatPr defaultColWidth="8.5703125" defaultRowHeight="15.75" x14ac:dyDescent="0.2"/>
  <cols>
    <col min="1" max="1" width="4.140625" style="171" customWidth="1"/>
    <col min="2" max="2" width="22.85546875" style="171" customWidth="1"/>
    <col min="3" max="3" width="0.7109375" style="171" hidden="1" customWidth="1"/>
    <col min="4" max="4" width="29"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83/PRD-MRF/0526</v>
      </c>
      <c r="P2" s="277">
        <v>83</v>
      </c>
      <c r="Q2" s="278"/>
    </row>
    <row r="3" spans="1:17" ht="31.5" x14ac:dyDescent="0.2">
      <c r="A3" s="269"/>
      <c r="B3" s="270"/>
      <c r="C3" s="270"/>
      <c r="D3" s="271" t="s">
        <v>166</v>
      </c>
      <c r="E3" s="276"/>
      <c r="F3" s="272"/>
      <c r="G3" s="272"/>
      <c r="H3" s="272"/>
      <c r="I3" s="272"/>
      <c r="J3" s="272"/>
      <c r="K3" s="273"/>
      <c r="L3" s="174"/>
      <c r="M3" s="174"/>
      <c r="N3" s="274" t="s">
        <v>349</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368</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
      <c r="A13" s="285">
        <v>1</v>
      </c>
      <c r="B13" s="286" t="s">
        <v>362</v>
      </c>
      <c r="C13" s="286"/>
      <c r="D13" s="286" t="s">
        <v>363</v>
      </c>
      <c r="E13" s="285" t="s">
        <v>323</v>
      </c>
      <c r="F13" s="285">
        <v>10</v>
      </c>
      <c r="G13" s="285">
        <v>0</v>
      </c>
      <c r="H13" s="285"/>
      <c r="I13" s="287"/>
      <c r="J13" s="285" t="s">
        <v>189</v>
      </c>
      <c r="K13" s="285" t="s">
        <v>193</v>
      </c>
      <c r="L13" s="288"/>
      <c r="M13" s="288" t="str">
        <f t="shared" ref="M13:M29" si="0">IF(AND(ISNUMBER(F13),ISNUMBER(L13)),F13*L13,"")</f>
        <v/>
      </c>
      <c r="N13" s="285"/>
      <c r="O13" s="289"/>
    </row>
    <row r="14" spans="1:17" x14ac:dyDescent="0.2">
      <c r="A14" s="285">
        <v>2</v>
      </c>
      <c r="B14" s="286" t="s">
        <v>362</v>
      </c>
      <c r="C14" s="286"/>
      <c r="D14" s="286" t="s">
        <v>364</v>
      </c>
      <c r="E14" s="285" t="s">
        <v>323</v>
      </c>
      <c r="F14" s="285">
        <v>10</v>
      </c>
      <c r="G14" s="285">
        <v>0</v>
      </c>
      <c r="H14" s="285"/>
      <c r="I14" s="287"/>
      <c r="J14" s="285" t="s">
        <v>189</v>
      </c>
      <c r="K14" s="285" t="s">
        <v>193</v>
      </c>
      <c r="L14" s="288"/>
      <c r="M14" s="288"/>
      <c r="N14" s="285"/>
      <c r="O14" s="289"/>
    </row>
    <row r="15" spans="1:17" x14ac:dyDescent="0.2">
      <c r="A15" s="285">
        <v>3</v>
      </c>
      <c r="B15" s="286" t="s">
        <v>362</v>
      </c>
      <c r="C15" s="286"/>
      <c r="D15" s="286" t="s">
        <v>365</v>
      </c>
      <c r="E15" s="285" t="s">
        <v>323</v>
      </c>
      <c r="F15" s="285">
        <v>10</v>
      </c>
      <c r="G15" s="285">
        <v>0</v>
      </c>
      <c r="H15" s="285"/>
      <c r="I15" s="287"/>
      <c r="J15" s="285" t="s">
        <v>189</v>
      </c>
      <c r="K15" s="285" t="s">
        <v>193</v>
      </c>
      <c r="L15" s="288"/>
      <c r="M15" s="288"/>
      <c r="N15" s="285"/>
      <c r="O15" s="289"/>
    </row>
    <row r="16" spans="1:17" x14ac:dyDescent="0.2">
      <c r="A16" s="285">
        <v>4</v>
      </c>
      <c r="B16" s="286" t="s">
        <v>366</v>
      </c>
      <c r="C16" s="286"/>
      <c r="D16" s="286" t="s">
        <v>367</v>
      </c>
      <c r="E16" s="285" t="s">
        <v>323</v>
      </c>
      <c r="F16" s="285">
        <v>10</v>
      </c>
      <c r="G16" s="285">
        <v>0</v>
      </c>
      <c r="H16" s="285"/>
      <c r="I16" s="287"/>
      <c r="J16" s="285" t="s">
        <v>192</v>
      </c>
      <c r="K16" s="285" t="s">
        <v>193</v>
      </c>
      <c r="L16" s="288"/>
      <c r="M16" s="288"/>
      <c r="N16" s="285"/>
      <c r="O16" s="289"/>
    </row>
    <row r="17" spans="1:15" x14ac:dyDescent="0.2">
      <c r="A17" s="285">
        <v>5</v>
      </c>
      <c r="B17" s="286" t="s">
        <v>369</v>
      </c>
      <c r="C17" s="286"/>
      <c r="D17" s="286" t="s">
        <v>370</v>
      </c>
      <c r="E17" s="285" t="s">
        <v>323</v>
      </c>
      <c r="F17" s="285">
        <v>144</v>
      </c>
      <c r="G17" s="285"/>
      <c r="H17" s="285"/>
      <c r="I17" s="287"/>
      <c r="J17" s="285" t="s">
        <v>189</v>
      </c>
      <c r="K17" s="285" t="s">
        <v>195</v>
      </c>
      <c r="L17" s="288"/>
      <c r="M17" s="288"/>
      <c r="N17" s="285"/>
      <c r="O17" s="289"/>
    </row>
    <row r="18" spans="1:15" x14ac:dyDescent="0.2">
      <c r="A18" s="285">
        <v>6</v>
      </c>
      <c r="B18" s="286" t="s">
        <v>371</v>
      </c>
      <c r="C18" s="286"/>
      <c r="D18" s="286" t="s">
        <v>372</v>
      </c>
      <c r="E18" s="285" t="s">
        <v>323</v>
      </c>
      <c r="F18" s="285">
        <v>108</v>
      </c>
      <c r="G18" s="285"/>
      <c r="H18" s="285"/>
      <c r="I18" s="287"/>
      <c r="J18" s="285" t="s">
        <v>189</v>
      </c>
      <c r="K18" s="285" t="s">
        <v>195</v>
      </c>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2">
    <mergeCell ref="A48:O51"/>
    <mergeCell ref="A43:D43"/>
    <mergeCell ref="E43:H43"/>
    <mergeCell ref="I43:K43"/>
    <mergeCell ref="L43:O43"/>
    <mergeCell ref="A44:D44"/>
    <mergeCell ref="E44:H44"/>
    <mergeCell ref="I44:K44"/>
    <mergeCell ref="L44:O44"/>
    <mergeCell ref="A45:D45"/>
    <mergeCell ref="E45:H45"/>
    <mergeCell ref="I45:K45"/>
    <mergeCell ref="L37:O37"/>
    <mergeCell ref="L45:O45"/>
    <mergeCell ref="A47:O47"/>
    <mergeCell ref="A41:D41"/>
    <mergeCell ref="E41:H41"/>
    <mergeCell ref="I41:K41"/>
    <mergeCell ref="L41:O41"/>
    <mergeCell ref="A42:D42"/>
    <mergeCell ref="E42:H42"/>
    <mergeCell ref="I42:K42"/>
    <mergeCell ref="L42:O42"/>
    <mergeCell ref="A34:C34"/>
    <mergeCell ref="D34:F34"/>
    <mergeCell ref="G34:K34"/>
    <mergeCell ref="L34:O34"/>
    <mergeCell ref="A40:D40"/>
    <mergeCell ref="E40:H40"/>
    <mergeCell ref="I40:K40"/>
    <mergeCell ref="L40:O40"/>
    <mergeCell ref="A36:C36"/>
    <mergeCell ref="D36:F36"/>
    <mergeCell ref="G36:K36"/>
    <mergeCell ref="L36:O36"/>
    <mergeCell ref="A39:O39"/>
    <mergeCell ref="A37:C37"/>
    <mergeCell ref="D37:F37"/>
    <mergeCell ref="G37:K37"/>
    <mergeCell ref="A35:C35"/>
    <mergeCell ref="D35:F35"/>
    <mergeCell ref="G35:K35"/>
    <mergeCell ref="L35:O35"/>
    <mergeCell ref="A9:C9"/>
    <mergeCell ref="D9:O9"/>
    <mergeCell ref="A11:O11"/>
    <mergeCell ref="A31:O31"/>
    <mergeCell ref="A32:C32"/>
    <mergeCell ref="D32:F32"/>
    <mergeCell ref="G32:K32"/>
    <mergeCell ref="L32:O32"/>
    <mergeCell ref="A33:C33"/>
    <mergeCell ref="D33:F33"/>
    <mergeCell ref="G33:K33"/>
    <mergeCell ref="L33:O33"/>
    <mergeCell ref="A8:C8"/>
    <mergeCell ref="D8:O8"/>
    <mergeCell ref="A5:O5"/>
    <mergeCell ref="A6:C6"/>
    <mergeCell ref="D6:O6"/>
    <mergeCell ref="A7:C7"/>
    <mergeCell ref="D7:O7"/>
  </mergeCells>
  <conditionalFormatting sqref="A13:O29">
    <cfRule type="expression" dxfId="67" priority="1">
      <formula>$J13="Khẩn"</formula>
    </cfRule>
    <cfRule type="expression" dxfId="66" priority="2">
      <formula>$J13="Bình thường"</formula>
    </cfRule>
    <cfRule type="expression" dxfId="65" priority="3">
      <formula>$J13="Dự phòng"</formula>
    </cfRule>
    <cfRule type="expression" dxfId="64" priority="4">
      <formula>AND($F13&gt;$G13,$F13&gt;0)</formula>
    </cfRule>
  </conditionalFormatting>
  <dataValidations count="2">
    <dataValidation type="list" allowBlank="1" showInputMessage="1" showErrorMessage="1" sqref="K13:K29" xr:uid="{15D92B8B-26B1-47F8-9EF1-46E773976285}">
      <formula1>"CCDC,NPL,Tiêu hao"</formula1>
    </dataValidation>
    <dataValidation type="list" allowBlank="1" showInputMessage="1" showErrorMessage="1" sqref="J13:J29" xr:uid="{8B54AD11-0340-4E49-A97E-DADFD65324D2}">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198EA1A-07B6-4CB1-8A33-EE091716C5C8}">
          <x14:formula1>
            <xm:f>DATA!$B:$B</xm:f>
          </x14:formula1>
          <xm:sqref>E13:E29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3A6A-E856-49F9-B20C-1F48D9A85ABD}">
  <dimension ref="A1:Q64"/>
  <sheetViews>
    <sheetView zoomScaleNormal="100" zoomScaleSheetLayoutView="100" workbookViewId="0">
      <selection activeCell="Q16" sqref="Q16"/>
    </sheetView>
  </sheetViews>
  <sheetFormatPr defaultColWidth="8.5703125" defaultRowHeight="15.75" x14ac:dyDescent="0.2"/>
  <cols>
    <col min="1" max="1" width="4.140625" style="171" customWidth="1"/>
    <col min="2" max="2" width="27.7109375" style="171" customWidth="1"/>
    <col min="3" max="3" width="0.7109375" style="171" hidden="1" customWidth="1"/>
    <col min="4" max="4" width="24.8554687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84/PRD-MRF/0526</v>
      </c>
      <c r="P2" s="277">
        <v>84</v>
      </c>
      <c r="Q2" s="278"/>
    </row>
    <row r="3" spans="1:17" ht="31.5" x14ac:dyDescent="0.2">
      <c r="A3" s="269"/>
      <c r="B3" s="270"/>
      <c r="C3" s="270"/>
      <c r="D3" s="271" t="s">
        <v>166</v>
      </c>
      <c r="E3" s="276"/>
      <c r="F3" s="272"/>
      <c r="G3" s="272"/>
      <c r="H3" s="272"/>
      <c r="I3" s="272"/>
      <c r="J3" s="272"/>
      <c r="K3" s="273"/>
      <c r="L3" s="174"/>
      <c r="M3" s="174"/>
      <c r="N3" s="274" t="s">
        <v>349</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391</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27" customHeight="1"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
      <c r="A13" s="285">
        <v>1</v>
      </c>
      <c r="B13" s="286" t="s">
        <v>374</v>
      </c>
      <c r="C13" s="286"/>
      <c r="D13" s="286" t="s">
        <v>373</v>
      </c>
      <c r="E13" s="285" t="s">
        <v>301</v>
      </c>
      <c r="F13" s="285">
        <v>1</v>
      </c>
      <c r="G13" s="285">
        <v>0</v>
      </c>
      <c r="H13" s="285"/>
      <c r="I13" s="319" t="s">
        <v>390</v>
      </c>
      <c r="J13" s="285" t="s">
        <v>189</v>
      </c>
      <c r="K13" s="285" t="s">
        <v>190</v>
      </c>
      <c r="L13" s="288"/>
      <c r="M13" s="288" t="str">
        <f t="shared" ref="M13:M41" si="0">IF(AND(ISNUMBER(F13),ISNUMBER(L13)),F13*L13,"")</f>
        <v/>
      </c>
      <c r="N13" s="309" t="s">
        <v>389</v>
      </c>
      <c r="O13" s="289"/>
    </row>
    <row r="14" spans="1:17" x14ac:dyDescent="0.2">
      <c r="A14" s="285">
        <v>2</v>
      </c>
      <c r="B14" s="286" t="s">
        <v>374</v>
      </c>
      <c r="C14" s="286"/>
      <c r="D14" s="286" t="s">
        <v>375</v>
      </c>
      <c r="E14" s="285" t="s">
        <v>301</v>
      </c>
      <c r="F14" s="285">
        <v>1</v>
      </c>
      <c r="G14" s="285">
        <v>0</v>
      </c>
      <c r="H14" s="285"/>
      <c r="I14" s="320"/>
      <c r="J14" s="285" t="s">
        <v>189</v>
      </c>
      <c r="K14" s="285" t="s">
        <v>190</v>
      </c>
      <c r="L14" s="288"/>
      <c r="M14" s="288"/>
      <c r="N14" s="310"/>
      <c r="O14" s="289"/>
    </row>
    <row r="15" spans="1:17" x14ac:dyDescent="0.2">
      <c r="A15" s="285">
        <v>3</v>
      </c>
      <c r="B15" s="286" t="s">
        <v>374</v>
      </c>
      <c r="C15" s="286"/>
      <c r="D15" s="286" t="s">
        <v>376</v>
      </c>
      <c r="E15" s="285" t="s">
        <v>301</v>
      </c>
      <c r="F15" s="285">
        <v>2</v>
      </c>
      <c r="G15" s="285">
        <v>0</v>
      </c>
      <c r="H15" s="285"/>
      <c r="I15" s="320"/>
      <c r="J15" s="285" t="s">
        <v>189</v>
      </c>
      <c r="K15" s="285" t="s">
        <v>190</v>
      </c>
      <c r="L15" s="288"/>
      <c r="M15" s="288"/>
      <c r="N15" s="310"/>
      <c r="O15" s="289"/>
    </row>
    <row r="16" spans="1:17" x14ac:dyDescent="0.2">
      <c r="A16" s="285">
        <v>4</v>
      </c>
      <c r="B16" s="286" t="s">
        <v>378</v>
      </c>
      <c r="C16" s="286"/>
      <c r="D16" s="286" t="s">
        <v>377</v>
      </c>
      <c r="E16" s="285" t="s">
        <v>301</v>
      </c>
      <c r="F16" s="285">
        <v>1</v>
      </c>
      <c r="G16" s="285">
        <v>0</v>
      </c>
      <c r="H16" s="285"/>
      <c r="I16" s="320"/>
      <c r="J16" s="285" t="s">
        <v>189</v>
      </c>
      <c r="K16" s="285" t="s">
        <v>190</v>
      </c>
      <c r="L16" s="288"/>
      <c r="M16" s="288"/>
      <c r="N16" s="310"/>
      <c r="O16" s="289"/>
    </row>
    <row r="17" spans="1:16" x14ac:dyDescent="0.2">
      <c r="A17" s="285">
        <v>5</v>
      </c>
      <c r="B17" s="286" t="s">
        <v>374</v>
      </c>
      <c r="C17" s="286"/>
      <c r="D17" s="286" t="s">
        <v>379</v>
      </c>
      <c r="E17" s="285" t="s">
        <v>301</v>
      </c>
      <c r="F17" s="285">
        <v>1</v>
      </c>
      <c r="G17" s="285">
        <v>0</v>
      </c>
      <c r="H17" s="285"/>
      <c r="I17" s="320"/>
      <c r="J17" s="285" t="s">
        <v>189</v>
      </c>
      <c r="K17" s="285" t="s">
        <v>190</v>
      </c>
      <c r="L17" s="288"/>
      <c r="M17" s="288"/>
      <c r="N17" s="310"/>
      <c r="O17" s="289"/>
      <c r="P17" s="290"/>
    </row>
    <row r="18" spans="1:16" x14ac:dyDescent="0.2">
      <c r="A18" s="285">
        <v>6</v>
      </c>
      <c r="B18" s="286" t="s">
        <v>381</v>
      </c>
      <c r="C18" s="286"/>
      <c r="D18" s="286" t="s">
        <v>380</v>
      </c>
      <c r="E18" s="285" t="s">
        <v>301</v>
      </c>
      <c r="F18" s="285">
        <v>2</v>
      </c>
      <c r="G18" s="285">
        <v>0</v>
      </c>
      <c r="H18" s="285"/>
      <c r="I18" s="320"/>
      <c r="J18" s="285" t="s">
        <v>189</v>
      </c>
      <c r="K18" s="285" t="s">
        <v>190</v>
      </c>
      <c r="L18" s="288"/>
      <c r="M18" s="288"/>
      <c r="N18" s="310"/>
      <c r="O18" s="289"/>
    </row>
    <row r="19" spans="1:16" x14ac:dyDescent="0.2">
      <c r="A19" s="285">
        <v>7</v>
      </c>
      <c r="B19" s="286" t="s">
        <v>378</v>
      </c>
      <c r="C19" s="286"/>
      <c r="D19" s="286" t="s">
        <v>382</v>
      </c>
      <c r="E19" s="285" t="s">
        <v>301</v>
      </c>
      <c r="F19" s="285">
        <v>1</v>
      </c>
      <c r="G19" s="285">
        <v>0</v>
      </c>
      <c r="H19" s="285"/>
      <c r="I19" s="320"/>
      <c r="J19" s="285" t="s">
        <v>189</v>
      </c>
      <c r="K19" s="285" t="s">
        <v>190</v>
      </c>
      <c r="L19" s="288"/>
      <c r="M19" s="288"/>
      <c r="N19" s="310"/>
      <c r="O19" s="289"/>
    </row>
    <row r="20" spans="1:16" x14ac:dyDescent="0.2">
      <c r="A20" s="285">
        <v>8</v>
      </c>
      <c r="B20" s="286" t="s">
        <v>378</v>
      </c>
      <c r="C20" s="286"/>
      <c r="D20" s="286" t="s">
        <v>383</v>
      </c>
      <c r="E20" s="285" t="s">
        <v>301</v>
      </c>
      <c r="F20" s="285">
        <v>1</v>
      </c>
      <c r="G20" s="285">
        <v>0</v>
      </c>
      <c r="H20" s="285"/>
      <c r="I20" s="320"/>
      <c r="J20" s="285" t="s">
        <v>189</v>
      </c>
      <c r="K20" s="285" t="s">
        <v>190</v>
      </c>
      <c r="L20" s="288"/>
      <c r="M20" s="288"/>
      <c r="N20" s="310"/>
      <c r="O20" s="289"/>
    </row>
    <row r="21" spans="1:16" x14ac:dyDescent="0.2">
      <c r="A21" s="285">
        <v>9</v>
      </c>
      <c r="B21" s="286" t="s">
        <v>378</v>
      </c>
      <c r="C21" s="286"/>
      <c r="D21" s="286" t="s">
        <v>384</v>
      </c>
      <c r="E21" s="285" t="s">
        <v>301</v>
      </c>
      <c r="F21" s="285">
        <v>1</v>
      </c>
      <c r="G21" s="285">
        <v>0</v>
      </c>
      <c r="H21" s="285"/>
      <c r="I21" s="320"/>
      <c r="J21" s="285" t="s">
        <v>189</v>
      </c>
      <c r="K21" s="285" t="s">
        <v>190</v>
      </c>
      <c r="L21" s="288"/>
      <c r="M21" s="288"/>
      <c r="N21" s="310"/>
      <c r="O21" s="289"/>
    </row>
    <row r="22" spans="1:16" x14ac:dyDescent="0.2">
      <c r="A22" s="285">
        <v>10</v>
      </c>
      <c r="B22" s="286" t="s">
        <v>378</v>
      </c>
      <c r="C22" s="286"/>
      <c r="D22" s="286" t="s">
        <v>385</v>
      </c>
      <c r="E22" s="285" t="s">
        <v>301</v>
      </c>
      <c r="F22" s="285">
        <v>2</v>
      </c>
      <c r="G22" s="285">
        <v>0</v>
      </c>
      <c r="H22" s="285"/>
      <c r="I22" s="320"/>
      <c r="J22" s="285" t="s">
        <v>189</v>
      </c>
      <c r="K22" s="285" t="s">
        <v>190</v>
      </c>
      <c r="L22" s="288"/>
      <c r="M22" s="288"/>
      <c r="N22" s="310"/>
      <c r="O22" s="289"/>
    </row>
    <row r="23" spans="1:16" x14ac:dyDescent="0.2">
      <c r="A23" s="285">
        <v>11</v>
      </c>
      <c r="B23" s="286" t="s">
        <v>378</v>
      </c>
      <c r="C23" s="286"/>
      <c r="D23" s="286" t="s">
        <v>386</v>
      </c>
      <c r="E23" s="285" t="s">
        <v>301</v>
      </c>
      <c r="F23" s="285">
        <v>1</v>
      </c>
      <c r="G23" s="285">
        <v>0</v>
      </c>
      <c r="H23" s="285"/>
      <c r="I23" s="320"/>
      <c r="J23" s="285" t="s">
        <v>189</v>
      </c>
      <c r="K23" s="285" t="s">
        <v>190</v>
      </c>
      <c r="L23" s="288"/>
      <c r="M23" s="288"/>
      <c r="N23" s="310"/>
      <c r="O23" s="289"/>
    </row>
    <row r="24" spans="1:16" x14ac:dyDescent="0.2">
      <c r="A24" s="285">
        <v>12</v>
      </c>
      <c r="B24" s="286" t="s">
        <v>374</v>
      </c>
      <c r="C24" s="286"/>
      <c r="D24" s="286" t="s">
        <v>387</v>
      </c>
      <c r="E24" s="285" t="s">
        <v>301</v>
      </c>
      <c r="F24" s="285">
        <v>2</v>
      </c>
      <c r="G24" s="285">
        <v>0</v>
      </c>
      <c r="H24" s="285"/>
      <c r="I24" s="320"/>
      <c r="J24" s="285" t="s">
        <v>189</v>
      </c>
      <c r="K24" s="285" t="s">
        <v>190</v>
      </c>
      <c r="L24" s="288"/>
      <c r="M24" s="288"/>
      <c r="N24" s="310"/>
      <c r="O24" s="289"/>
    </row>
    <row r="25" spans="1:16" x14ac:dyDescent="0.2">
      <c r="A25" s="285">
        <v>13</v>
      </c>
      <c r="B25" s="286" t="s">
        <v>378</v>
      </c>
      <c r="C25" s="286"/>
      <c r="D25" s="286" t="s">
        <v>388</v>
      </c>
      <c r="E25" s="285" t="s">
        <v>301</v>
      </c>
      <c r="F25" s="285">
        <v>6</v>
      </c>
      <c r="G25" s="285">
        <v>0</v>
      </c>
      <c r="H25" s="285"/>
      <c r="I25" s="321"/>
      <c r="J25" s="285" t="s">
        <v>189</v>
      </c>
      <c r="K25" s="285" t="s">
        <v>190</v>
      </c>
      <c r="L25" s="288"/>
      <c r="M25" s="288"/>
      <c r="N25" s="311"/>
      <c r="O25" s="289"/>
    </row>
    <row r="26" spans="1:16" ht="16.149999999999999" hidden="1" customHeight="1" x14ac:dyDescent="0.2">
      <c r="A26" s="285"/>
      <c r="B26" s="286"/>
      <c r="C26" s="286"/>
      <c r="D26" s="286"/>
      <c r="E26" s="285"/>
      <c r="F26" s="285"/>
      <c r="G26" s="285"/>
      <c r="H26" s="285"/>
      <c r="I26" s="287"/>
      <c r="J26" s="285"/>
      <c r="K26" s="285"/>
      <c r="L26" s="288"/>
      <c r="M26" s="288"/>
      <c r="N26" s="285"/>
      <c r="O26" s="289"/>
    </row>
    <row r="27" spans="1:16" hidden="1" x14ac:dyDescent="0.2">
      <c r="A27" s="285"/>
      <c r="B27" s="286"/>
      <c r="C27" s="286"/>
      <c r="D27" s="286"/>
      <c r="E27" s="285"/>
      <c r="F27" s="285"/>
      <c r="G27" s="285"/>
      <c r="H27" s="285"/>
      <c r="I27" s="287"/>
      <c r="J27" s="285"/>
      <c r="K27" s="285"/>
      <c r="L27" s="288"/>
      <c r="M27" s="288"/>
      <c r="N27" s="285"/>
      <c r="O27" s="289"/>
    </row>
    <row r="28" spans="1:16" hidden="1" x14ac:dyDescent="0.2">
      <c r="A28" s="285"/>
      <c r="B28" s="286"/>
      <c r="C28" s="286"/>
      <c r="D28" s="286"/>
      <c r="E28" s="285"/>
      <c r="F28" s="285"/>
      <c r="G28" s="285"/>
      <c r="H28" s="285"/>
      <c r="I28" s="287"/>
      <c r="J28" s="285"/>
      <c r="K28" s="285"/>
      <c r="L28" s="288"/>
      <c r="M28" s="288"/>
      <c r="N28" s="285"/>
      <c r="O28" s="289"/>
    </row>
    <row r="29" spans="1:16" hidden="1" x14ac:dyDescent="0.2">
      <c r="A29" s="285"/>
      <c r="B29" s="286"/>
      <c r="C29" s="286"/>
      <c r="D29" s="286"/>
      <c r="E29" s="285"/>
      <c r="F29" s="285"/>
      <c r="G29" s="285"/>
      <c r="H29" s="285"/>
      <c r="I29" s="287"/>
      <c r="J29" s="285"/>
      <c r="K29" s="285"/>
      <c r="L29" s="288"/>
      <c r="M29" s="288"/>
      <c r="N29" s="285"/>
      <c r="O29" s="289"/>
    </row>
    <row r="30" spans="1:16" hidden="1" x14ac:dyDescent="0.2">
      <c r="A30" s="285"/>
      <c r="B30" s="286"/>
      <c r="C30" s="286"/>
      <c r="D30" s="286"/>
      <c r="E30" s="285"/>
      <c r="F30" s="285"/>
      <c r="G30" s="285"/>
      <c r="H30" s="285"/>
      <c r="I30" s="287"/>
      <c r="J30" s="285"/>
      <c r="K30" s="285"/>
      <c r="L30" s="288"/>
      <c r="M30" s="288"/>
      <c r="N30" s="285"/>
      <c r="O30" s="289"/>
    </row>
    <row r="31" spans="1:16" hidden="1" x14ac:dyDescent="0.2">
      <c r="A31" s="285"/>
      <c r="B31" s="286"/>
      <c r="C31" s="286"/>
      <c r="D31" s="286"/>
      <c r="E31" s="285"/>
      <c r="F31" s="285"/>
      <c r="G31" s="285"/>
      <c r="H31" s="285"/>
      <c r="I31" s="287"/>
      <c r="J31" s="285"/>
      <c r="K31" s="285"/>
      <c r="L31" s="288"/>
      <c r="M31" s="288"/>
      <c r="N31" s="285"/>
      <c r="O31" s="289"/>
    </row>
    <row r="32" spans="1:16" hidden="1" x14ac:dyDescent="0.2">
      <c r="A32" s="285">
        <v>11</v>
      </c>
      <c r="B32" s="286"/>
      <c r="C32" s="286"/>
      <c r="D32" s="286"/>
      <c r="E32" s="285"/>
      <c r="F32" s="285"/>
      <c r="G32" s="285"/>
      <c r="H32" s="285"/>
      <c r="I32" s="287"/>
      <c r="J32" s="285"/>
      <c r="K32" s="285"/>
      <c r="L32" s="288"/>
      <c r="M32" s="288" t="str">
        <f t="shared" si="0"/>
        <v/>
      </c>
      <c r="N32" s="285"/>
      <c r="O32" s="286"/>
    </row>
    <row r="33" spans="1:15" hidden="1" x14ac:dyDescent="0.2">
      <c r="A33" s="285">
        <v>12</v>
      </c>
      <c r="B33" s="286"/>
      <c r="C33" s="286"/>
      <c r="D33" s="286"/>
      <c r="E33" s="285"/>
      <c r="F33" s="285"/>
      <c r="G33" s="285"/>
      <c r="H33" s="285"/>
      <c r="I33" s="287"/>
      <c r="J33" s="285"/>
      <c r="K33" s="285"/>
      <c r="L33" s="288"/>
      <c r="M33" s="288" t="str">
        <f t="shared" si="0"/>
        <v/>
      </c>
      <c r="N33" s="285"/>
      <c r="O33" s="286"/>
    </row>
    <row r="34" spans="1:15" hidden="1" x14ac:dyDescent="0.2">
      <c r="A34" s="285">
        <v>13</v>
      </c>
      <c r="B34" s="286"/>
      <c r="C34" s="286"/>
      <c r="D34" s="286"/>
      <c r="E34" s="285"/>
      <c r="F34" s="285"/>
      <c r="G34" s="285"/>
      <c r="H34" s="285"/>
      <c r="I34" s="287"/>
      <c r="J34" s="285"/>
      <c r="K34" s="285"/>
      <c r="L34" s="288"/>
      <c r="M34" s="288" t="str">
        <f t="shared" si="0"/>
        <v/>
      </c>
      <c r="N34" s="285"/>
      <c r="O34" s="286"/>
    </row>
    <row r="35" spans="1:15" hidden="1" x14ac:dyDescent="0.2">
      <c r="A35" s="285">
        <v>14</v>
      </c>
      <c r="B35" s="286"/>
      <c r="C35" s="286"/>
      <c r="D35" s="286"/>
      <c r="E35" s="285"/>
      <c r="F35" s="285"/>
      <c r="G35" s="285"/>
      <c r="H35" s="285"/>
      <c r="I35" s="287"/>
      <c r="J35" s="285"/>
      <c r="K35" s="285"/>
      <c r="L35" s="288"/>
      <c r="M35" s="288" t="str">
        <f t="shared" si="0"/>
        <v/>
      </c>
      <c r="N35" s="285"/>
      <c r="O35" s="286"/>
    </row>
    <row r="36" spans="1:15" hidden="1" x14ac:dyDescent="0.2">
      <c r="A36" s="285">
        <v>15</v>
      </c>
      <c r="B36" s="286"/>
      <c r="C36" s="286"/>
      <c r="D36" s="286"/>
      <c r="E36" s="285"/>
      <c r="F36" s="285"/>
      <c r="G36" s="285"/>
      <c r="H36" s="285"/>
      <c r="I36" s="287"/>
      <c r="J36" s="285"/>
      <c r="K36" s="285"/>
      <c r="L36" s="288"/>
      <c r="M36" s="288" t="str">
        <f t="shared" si="0"/>
        <v/>
      </c>
      <c r="N36" s="285"/>
      <c r="O36" s="286"/>
    </row>
    <row r="37" spans="1:15" hidden="1" x14ac:dyDescent="0.2">
      <c r="A37" s="285">
        <v>16</v>
      </c>
      <c r="B37" s="286"/>
      <c r="C37" s="286"/>
      <c r="D37" s="286"/>
      <c r="E37" s="285"/>
      <c r="F37" s="285"/>
      <c r="G37" s="285"/>
      <c r="H37" s="285"/>
      <c r="I37" s="287"/>
      <c r="J37" s="285"/>
      <c r="K37" s="285"/>
      <c r="L37" s="288"/>
      <c r="M37" s="288" t="str">
        <f t="shared" si="0"/>
        <v/>
      </c>
      <c r="N37" s="285"/>
      <c r="O37" s="286"/>
    </row>
    <row r="38" spans="1:15" hidden="1" x14ac:dyDescent="0.2">
      <c r="A38" s="285">
        <v>17</v>
      </c>
      <c r="B38" s="286"/>
      <c r="C38" s="286"/>
      <c r="D38" s="286"/>
      <c r="E38" s="285"/>
      <c r="F38" s="285"/>
      <c r="G38" s="285"/>
      <c r="H38" s="285"/>
      <c r="I38" s="287"/>
      <c r="J38" s="285"/>
      <c r="K38" s="285"/>
      <c r="L38" s="288"/>
      <c r="M38" s="288" t="str">
        <f t="shared" si="0"/>
        <v/>
      </c>
      <c r="N38" s="285"/>
      <c r="O38" s="286"/>
    </row>
    <row r="39" spans="1:15" hidden="1" x14ac:dyDescent="0.2">
      <c r="A39" s="285">
        <v>18</v>
      </c>
      <c r="B39" s="286"/>
      <c r="C39" s="286"/>
      <c r="D39" s="286"/>
      <c r="E39" s="285"/>
      <c r="F39" s="285"/>
      <c r="G39" s="285"/>
      <c r="H39" s="285"/>
      <c r="I39" s="287"/>
      <c r="J39" s="285"/>
      <c r="K39" s="285"/>
      <c r="L39" s="288"/>
      <c r="M39" s="288" t="str">
        <f t="shared" si="0"/>
        <v/>
      </c>
      <c r="N39" s="285"/>
      <c r="O39" s="286"/>
    </row>
    <row r="40" spans="1:15" hidden="1" x14ac:dyDescent="0.2">
      <c r="A40" s="285">
        <v>19</v>
      </c>
      <c r="B40" s="286"/>
      <c r="C40" s="286"/>
      <c r="D40" s="286"/>
      <c r="E40" s="285"/>
      <c r="F40" s="285"/>
      <c r="G40" s="285"/>
      <c r="H40" s="285"/>
      <c r="I40" s="287"/>
      <c r="J40" s="285"/>
      <c r="K40" s="285"/>
      <c r="L40" s="288"/>
      <c r="M40" s="288" t="str">
        <f t="shared" si="0"/>
        <v/>
      </c>
      <c r="N40" s="285"/>
      <c r="O40" s="286"/>
    </row>
    <row r="41" spans="1:15" hidden="1" x14ac:dyDescent="0.2">
      <c r="A41" s="285">
        <v>20</v>
      </c>
      <c r="B41" s="286"/>
      <c r="C41" s="286"/>
      <c r="D41" s="286"/>
      <c r="E41" s="285"/>
      <c r="F41" s="285"/>
      <c r="G41" s="285"/>
      <c r="H41" s="285"/>
      <c r="I41" s="287"/>
      <c r="J41" s="285"/>
      <c r="K41" s="285"/>
      <c r="L41" s="288"/>
      <c r="M41" s="288" t="str">
        <f t="shared" si="0"/>
        <v/>
      </c>
      <c r="N41" s="285"/>
      <c r="O41" s="286"/>
    </row>
    <row r="42" spans="1:15" x14ac:dyDescent="0.2">
      <c r="A42" s="266"/>
      <c r="B42" s="266"/>
      <c r="C42" s="266"/>
      <c r="D42" s="266"/>
      <c r="E42" s="266"/>
      <c r="F42" s="266"/>
      <c r="G42" s="266"/>
      <c r="H42" s="266"/>
      <c r="I42" s="266"/>
      <c r="J42" s="266"/>
      <c r="K42" s="266"/>
      <c r="L42" s="266"/>
      <c r="M42" s="266"/>
      <c r="N42" s="268"/>
      <c r="O42" s="266"/>
    </row>
    <row r="43" spans="1:15" x14ac:dyDescent="0.2">
      <c r="A43" s="333" t="s">
        <v>196</v>
      </c>
      <c r="B43" s="334"/>
      <c r="C43" s="334"/>
      <c r="D43" s="334"/>
      <c r="E43" s="334"/>
      <c r="F43" s="334"/>
      <c r="G43" s="334"/>
      <c r="H43" s="334"/>
      <c r="I43" s="334"/>
      <c r="J43" s="334"/>
      <c r="K43" s="334"/>
      <c r="L43" s="334"/>
      <c r="M43" s="334"/>
      <c r="N43" s="334"/>
      <c r="O43" s="334"/>
    </row>
    <row r="44" spans="1:15" x14ac:dyDescent="0.2">
      <c r="A44" s="335" t="s">
        <v>197</v>
      </c>
      <c r="B44" s="334"/>
      <c r="C44" s="334"/>
      <c r="D44" s="335" t="s">
        <v>198</v>
      </c>
      <c r="E44" s="334"/>
      <c r="F44" s="334"/>
      <c r="G44" s="335" t="s">
        <v>199</v>
      </c>
      <c r="H44" s="335"/>
      <c r="I44" s="334"/>
      <c r="J44" s="334"/>
      <c r="K44" s="334"/>
      <c r="L44" s="335" t="s">
        <v>188</v>
      </c>
      <c r="M44" s="334"/>
      <c r="N44" s="334"/>
      <c r="O44" s="334"/>
    </row>
    <row r="45" spans="1:15" ht="27" customHeight="1" x14ac:dyDescent="0.2">
      <c r="A45" s="322" t="s">
        <v>200</v>
      </c>
      <c r="B45" s="323"/>
      <c r="C45" s="323"/>
      <c r="D45" s="327" t="s">
        <v>347</v>
      </c>
      <c r="E45" s="328"/>
      <c r="F45" s="328"/>
      <c r="G45" s="327"/>
      <c r="H45" s="327"/>
      <c r="I45" s="328"/>
      <c r="J45" s="328"/>
      <c r="K45" s="328"/>
      <c r="L45" s="329"/>
      <c r="M45" s="328"/>
      <c r="N45" s="328"/>
      <c r="O45" s="328"/>
    </row>
    <row r="46" spans="1:15" ht="27" customHeight="1" x14ac:dyDescent="0.2">
      <c r="A46" s="322" t="s">
        <v>201</v>
      </c>
      <c r="B46" s="323"/>
      <c r="C46" s="323"/>
      <c r="D46" s="327" t="s">
        <v>347</v>
      </c>
      <c r="E46" s="328"/>
      <c r="F46" s="328"/>
      <c r="G46" s="327"/>
      <c r="H46" s="327"/>
      <c r="I46" s="328"/>
      <c r="J46" s="328"/>
      <c r="K46" s="328"/>
      <c r="L46" s="329"/>
      <c r="M46" s="328"/>
      <c r="N46" s="328"/>
      <c r="O46" s="328"/>
    </row>
    <row r="47" spans="1:15" ht="27" customHeight="1" x14ac:dyDescent="0.2">
      <c r="A47" s="322" t="s">
        <v>202</v>
      </c>
      <c r="B47" s="323"/>
      <c r="C47" s="323"/>
      <c r="D47" s="327"/>
      <c r="E47" s="328"/>
      <c r="F47" s="328"/>
      <c r="G47" s="327"/>
      <c r="H47" s="327"/>
      <c r="I47" s="328"/>
      <c r="J47" s="328"/>
      <c r="K47" s="328"/>
      <c r="L47" s="329"/>
      <c r="M47" s="328"/>
      <c r="N47" s="328"/>
      <c r="O47" s="328"/>
    </row>
    <row r="48" spans="1:15" ht="27" customHeight="1" x14ac:dyDescent="0.2">
      <c r="A48" s="322" t="s">
        <v>203</v>
      </c>
      <c r="B48" s="323"/>
      <c r="C48" s="323"/>
      <c r="D48" s="327"/>
      <c r="E48" s="328"/>
      <c r="F48" s="328"/>
      <c r="G48" s="327"/>
      <c r="H48" s="327"/>
      <c r="I48" s="328"/>
      <c r="J48" s="328"/>
      <c r="K48" s="328"/>
      <c r="L48" s="329"/>
      <c r="M48" s="328"/>
      <c r="N48" s="328"/>
      <c r="O48" s="328"/>
    </row>
    <row r="49" spans="1:15" ht="27" customHeight="1" x14ac:dyDescent="0.2">
      <c r="A49" s="322" t="s">
        <v>204</v>
      </c>
      <c r="B49" s="323"/>
      <c r="C49" s="323"/>
      <c r="D49" s="327"/>
      <c r="E49" s="328"/>
      <c r="F49" s="328"/>
      <c r="G49" s="327"/>
      <c r="H49" s="327"/>
      <c r="I49" s="328"/>
      <c r="J49" s="328"/>
      <c r="K49" s="328"/>
      <c r="L49" s="329"/>
      <c r="M49" s="328"/>
      <c r="N49" s="328"/>
      <c r="O49" s="328"/>
    </row>
    <row r="50" spans="1:15" hidden="1" x14ac:dyDescent="0.2"/>
    <row r="51" spans="1:15" hidden="1" x14ac:dyDescent="0.2">
      <c r="A51" s="333" t="s">
        <v>205</v>
      </c>
      <c r="B51" s="334"/>
      <c r="C51" s="334"/>
      <c r="D51" s="334"/>
      <c r="E51" s="334"/>
      <c r="F51" s="334"/>
      <c r="G51" s="334"/>
      <c r="H51" s="334"/>
      <c r="I51" s="334"/>
      <c r="J51" s="334"/>
      <c r="K51" s="334"/>
      <c r="L51" s="334"/>
      <c r="M51" s="334"/>
      <c r="N51" s="334"/>
      <c r="O51" s="334"/>
    </row>
    <row r="52" spans="1:15" hidden="1" x14ac:dyDescent="0.2">
      <c r="A52" s="335" t="s">
        <v>206</v>
      </c>
      <c r="B52" s="334"/>
      <c r="C52" s="334"/>
      <c r="D52" s="334"/>
      <c r="E52" s="336" t="s">
        <v>207</v>
      </c>
      <c r="F52" s="337"/>
      <c r="G52" s="337"/>
      <c r="H52" s="338"/>
      <c r="I52" s="335" t="s">
        <v>208</v>
      </c>
      <c r="J52" s="334"/>
      <c r="K52" s="334"/>
      <c r="L52" s="335" t="s">
        <v>188</v>
      </c>
      <c r="M52" s="334"/>
      <c r="N52" s="334"/>
      <c r="O52" s="334"/>
    </row>
    <row r="53" spans="1:15" hidden="1" x14ac:dyDescent="0.2">
      <c r="A53" s="322" t="s">
        <v>209</v>
      </c>
      <c r="B53" s="323"/>
      <c r="C53" s="323"/>
      <c r="D53" s="323"/>
      <c r="E53" s="324"/>
      <c r="F53" s="325"/>
      <c r="G53" s="325"/>
      <c r="H53" s="326"/>
      <c r="I53" s="327"/>
      <c r="J53" s="328"/>
      <c r="K53" s="328"/>
      <c r="L53" s="329"/>
      <c r="M53" s="328"/>
      <c r="N53" s="328"/>
      <c r="O53" s="328"/>
    </row>
    <row r="54" spans="1:15" hidden="1" x14ac:dyDescent="0.2">
      <c r="A54" s="322" t="s">
        <v>210</v>
      </c>
      <c r="B54" s="323"/>
      <c r="C54" s="323"/>
      <c r="D54" s="323"/>
      <c r="E54" s="324"/>
      <c r="F54" s="325"/>
      <c r="G54" s="325"/>
      <c r="H54" s="326"/>
      <c r="I54" s="327"/>
      <c r="J54" s="328"/>
      <c r="K54" s="328"/>
      <c r="L54" s="329"/>
      <c r="M54" s="328"/>
      <c r="N54" s="328"/>
      <c r="O54" s="328"/>
    </row>
    <row r="55" spans="1:15" hidden="1" x14ac:dyDescent="0.2">
      <c r="A55" s="322" t="s">
        <v>211</v>
      </c>
      <c r="B55" s="323"/>
      <c r="C55" s="323"/>
      <c r="D55" s="323"/>
      <c r="E55" s="324"/>
      <c r="F55" s="325"/>
      <c r="G55" s="325"/>
      <c r="H55" s="326"/>
      <c r="I55" s="327"/>
      <c r="J55" s="328"/>
      <c r="K55" s="328"/>
      <c r="L55" s="329"/>
      <c r="M55" s="328"/>
      <c r="N55" s="328"/>
      <c r="O55" s="328"/>
    </row>
    <row r="56" spans="1:15" hidden="1" x14ac:dyDescent="0.2">
      <c r="A56" s="322" t="s">
        <v>212</v>
      </c>
      <c r="B56" s="323"/>
      <c r="C56" s="323"/>
      <c r="D56" s="323"/>
      <c r="E56" s="324"/>
      <c r="F56" s="325"/>
      <c r="G56" s="325"/>
      <c r="H56" s="326"/>
      <c r="I56" s="327"/>
      <c r="J56" s="328"/>
      <c r="K56" s="328"/>
      <c r="L56" s="329"/>
      <c r="M56" s="328"/>
      <c r="N56" s="328"/>
      <c r="O56" s="328"/>
    </row>
    <row r="57" spans="1:15" hidden="1" x14ac:dyDescent="0.2">
      <c r="A57" s="322" t="s">
        <v>213</v>
      </c>
      <c r="B57" s="323"/>
      <c r="C57" s="323"/>
      <c r="D57" s="323"/>
      <c r="E57" s="324"/>
      <c r="F57" s="325"/>
      <c r="G57" s="325"/>
      <c r="H57" s="326"/>
      <c r="I57" s="327"/>
      <c r="J57" s="328"/>
      <c r="K57" s="328"/>
      <c r="L57" s="329"/>
      <c r="M57" s="328"/>
      <c r="N57" s="328"/>
      <c r="O57" s="328"/>
    </row>
    <row r="58" spans="1:15" hidden="1" x14ac:dyDescent="0.2"/>
    <row r="59" spans="1:15" hidden="1" x14ac:dyDescent="0.2">
      <c r="A59" s="330" t="s">
        <v>214</v>
      </c>
      <c r="B59" s="331"/>
      <c r="C59" s="331"/>
      <c r="D59" s="331"/>
      <c r="E59" s="331"/>
      <c r="F59" s="331"/>
      <c r="G59" s="331"/>
      <c r="H59" s="331"/>
      <c r="I59" s="331"/>
      <c r="J59" s="331"/>
      <c r="K59" s="331"/>
      <c r="L59" s="331"/>
      <c r="M59" s="331"/>
      <c r="N59" s="331"/>
      <c r="O59" s="331"/>
    </row>
    <row r="60" spans="1:15" hidden="1" x14ac:dyDescent="0.2">
      <c r="A60" s="332" t="s">
        <v>215</v>
      </c>
      <c r="B60" s="328"/>
      <c r="C60" s="328"/>
      <c r="D60" s="328"/>
      <c r="E60" s="328"/>
      <c r="F60" s="328"/>
      <c r="G60" s="328"/>
      <c r="H60" s="328"/>
      <c r="I60" s="328"/>
      <c r="J60" s="328"/>
      <c r="K60" s="328"/>
      <c r="L60" s="328"/>
      <c r="M60" s="328"/>
      <c r="N60" s="328"/>
      <c r="O60" s="328"/>
    </row>
    <row r="61" spans="1:15" hidden="1" x14ac:dyDescent="0.2">
      <c r="A61" s="328"/>
      <c r="B61" s="328"/>
      <c r="C61" s="328"/>
      <c r="D61" s="328"/>
      <c r="E61" s="328"/>
      <c r="F61" s="328"/>
      <c r="G61" s="328"/>
      <c r="H61" s="328"/>
      <c r="I61" s="328"/>
      <c r="J61" s="328"/>
      <c r="K61" s="328"/>
      <c r="L61" s="328"/>
      <c r="M61" s="328"/>
      <c r="N61" s="328"/>
      <c r="O61" s="328"/>
    </row>
    <row r="62" spans="1:15" hidden="1" x14ac:dyDescent="0.2">
      <c r="A62" s="328"/>
      <c r="B62" s="328"/>
      <c r="C62" s="328"/>
      <c r="D62" s="328"/>
      <c r="E62" s="328"/>
      <c r="F62" s="328"/>
      <c r="G62" s="328"/>
      <c r="H62" s="328"/>
      <c r="I62" s="328"/>
      <c r="J62" s="328"/>
      <c r="K62" s="328"/>
      <c r="L62" s="328"/>
      <c r="M62" s="328"/>
      <c r="N62" s="328"/>
      <c r="O62" s="328"/>
    </row>
    <row r="63" spans="1:15" ht="6.4" hidden="1" customHeight="1" x14ac:dyDescent="0.2">
      <c r="A63" s="328"/>
      <c r="B63" s="328"/>
      <c r="C63" s="328"/>
      <c r="D63" s="328"/>
      <c r="E63" s="328"/>
      <c r="F63" s="328"/>
      <c r="G63" s="328"/>
      <c r="H63" s="328"/>
      <c r="I63" s="328"/>
      <c r="J63" s="328"/>
      <c r="K63" s="328"/>
      <c r="L63" s="328"/>
      <c r="M63" s="328"/>
      <c r="N63" s="328"/>
      <c r="O63" s="328"/>
    </row>
    <row r="64" spans="1:15" x14ac:dyDescent="0.2">
      <c r="J64" s="282" t="s">
        <v>216</v>
      </c>
      <c r="K64" s="182"/>
      <c r="L64" s="182"/>
      <c r="M64" s="182"/>
      <c r="N64" s="182"/>
      <c r="O64" s="182"/>
    </row>
  </sheetData>
  <mergeCells count="64">
    <mergeCell ref="A60:O63"/>
    <mergeCell ref="A55:D55"/>
    <mergeCell ref="E55:H55"/>
    <mergeCell ref="I55:K55"/>
    <mergeCell ref="L55:O55"/>
    <mergeCell ref="A56:D56"/>
    <mergeCell ref="E56:H56"/>
    <mergeCell ref="I56:K56"/>
    <mergeCell ref="L56:O56"/>
    <mergeCell ref="A57:D57"/>
    <mergeCell ref="E57:H57"/>
    <mergeCell ref="I57:K57"/>
    <mergeCell ref="L57:O57"/>
    <mergeCell ref="A59:O59"/>
    <mergeCell ref="A53:D53"/>
    <mergeCell ref="E53:H53"/>
    <mergeCell ref="I53:K53"/>
    <mergeCell ref="L53:O53"/>
    <mergeCell ref="A54:D54"/>
    <mergeCell ref="E54:H54"/>
    <mergeCell ref="I54:K54"/>
    <mergeCell ref="L54:O54"/>
    <mergeCell ref="A52:D52"/>
    <mergeCell ref="E52:H52"/>
    <mergeCell ref="I52:K52"/>
    <mergeCell ref="L52:O52"/>
    <mergeCell ref="A48:C48"/>
    <mergeCell ref="D48:F48"/>
    <mergeCell ref="G48:K48"/>
    <mergeCell ref="L48:O48"/>
    <mergeCell ref="A51:O51"/>
    <mergeCell ref="A49:C49"/>
    <mergeCell ref="D49:F49"/>
    <mergeCell ref="G49:K49"/>
    <mergeCell ref="L49:O49"/>
    <mergeCell ref="G45:K45"/>
    <mergeCell ref="L45:O45"/>
    <mergeCell ref="A46:C46"/>
    <mergeCell ref="D46:F46"/>
    <mergeCell ref="G46:K46"/>
    <mergeCell ref="L46:O46"/>
    <mergeCell ref="A47:C47"/>
    <mergeCell ref="D47:F47"/>
    <mergeCell ref="G47:K47"/>
    <mergeCell ref="L47:O47"/>
    <mergeCell ref="A9:C9"/>
    <mergeCell ref="D9:O9"/>
    <mergeCell ref="A11:O11"/>
    <mergeCell ref="A43:O43"/>
    <mergeCell ref="A44:C44"/>
    <mergeCell ref="D44:F44"/>
    <mergeCell ref="G44:K44"/>
    <mergeCell ref="L44:O44"/>
    <mergeCell ref="N13:N25"/>
    <mergeCell ref="I13:I25"/>
    <mergeCell ref="A45:C45"/>
    <mergeCell ref="D45:F45"/>
    <mergeCell ref="A8:C8"/>
    <mergeCell ref="D8:O8"/>
    <mergeCell ref="A5:O5"/>
    <mergeCell ref="A6:C6"/>
    <mergeCell ref="D6:O6"/>
    <mergeCell ref="A7:C7"/>
    <mergeCell ref="D7:O7"/>
  </mergeCells>
  <conditionalFormatting sqref="A13:O13 A14:H25 J14:M25 O14:O25 A26:O41">
    <cfRule type="expression" dxfId="63" priority="1">
      <formula>$J13="Khẩn"</formula>
    </cfRule>
    <cfRule type="expression" dxfId="62" priority="2">
      <formula>$J13="Bình thường"</formula>
    </cfRule>
    <cfRule type="expression" dxfId="61" priority="3">
      <formula>$J13="Dự phòng"</formula>
    </cfRule>
    <cfRule type="expression" dxfId="60" priority="4">
      <formula>AND($F13&gt;$G13,$F13&gt;0)</formula>
    </cfRule>
  </conditionalFormatting>
  <dataValidations count="2">
    <dataValidation type="list" allowBlank="1" showInputMessage="1" showErrorMessage="1" sqref="K32:K41 K13:K31" xr:uid="{DE7776A3-7D0A-4ACD-9EE0-2E0601399B3E}">
      <formula1>"CCDC,NPL,Tiêu hao"</formula1>
    </dataValidation>
    <dataValidation type="list" allowBlank="1" showInputMessage="1" showErrorMessage="1" sqref="J32:J41 J13:J31" xr:uid="{D9CF5D29-35BB-4B4B-A9B2-AFA79205F166}">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ACEC92F-F26A-4766-844F-4EE56F938FE7}">
          <x14:formula1>
            <xm:f>DATA!$B:$B</xm:f>
          </x14:formula1>
          <xm:sqref>E32:E41 E13:E31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0475-583A-451E-9458-D86C6D7A2168}">
  <dimension ref="A1:Q52"/>
  <sheetViews>
    <sheetView zoomScaleNormal="100" zoomScaleSheetLayoutView="100" workbookViewId="0">
      <selection activeCell="S8" sqref="S8"/>
    </sheetView>
  </sheetViews>
  <sheetFormatPr defaultColWidth="8.5703125" defaultRowHeight="15.75" x14ac:dyDescent="0.2"/>
  <cols>
    <col min="1" max="1" width="4.140625" style="171" customWidth="1"/>
    <col min="2" max="2" width="22.85546875" style="171" customWidth="1"/>
    <col min="3" max="3" width="0.7109375" style="171" hidden="1" customWidth="1"/>
    <col min="4" max="4" width="29"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85/PRD-MRF/0526</v>
      </c>
      <c r="P2" s="277">
        <v>85</v>
      </c>
      <c r="Q2" s="278"/>
    </row>
    <row r="3" spans="1:17" ht="31.5" x14ac:dyDescent="0.2">
      <c r="A3" s="269"/>
      <c r="B3" s="270"/>
      <c r="C3" s="270"/>
      <c r="D3" s="271" t="s">
        <v>166</v>
      </c>
      <c r="E3" s="276"/>
      <c r="F3" s="272"/>
      <c r="G3" s="272"/>
      <c r="H3" s="272"/>
      <c r="I3" s="272"/>
      <c r="J3" s="272"/>
      <c r="K3" s="273"/>
      <c r="L3" s="174"/>
      <c r="M3" s="174"/>
      <c r="N3" s="274" t="s">
        <v>349</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399</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c r="B13" s="286" t="s">
        <v>395</v>
      </c>
      <c r="C13" s="286"/>
      <c r="D13" s="298" t="s">
        <v>392</v>
      </c>
      <c r="E13" s="285" t="s">
        <v>301</v>
      </c>
      <c r="F13" s="285">
        <v>1</v>
      </c>
      <c r="G13" s="285">
        <v>0</v>
      </c>
      <c r="H13" s="285"/>
      <c r="I13" s="319" t="s">
        <v>398</v>
      </c>
      <c r="J13" s="285" t="s">
        <v>189</v>
      </c>
      <c r="K13" s="285"/>
      <c r="L13" s="288"/>
      <c r="M13" s="288" t="str">
        <f t="shared" ref="M13:M29" si="0">IF(AND(ISNUMBER(F13),ISNUMBER(L13)),F13*L13,"")</f>
        <v/>
      </c>
      <c r="N13" s="309" t="s">
        <v>389</v>
      </c>
      <c r="O13" s="312" t="s">
        <v>397</v>
      </c>
    </row>
    <row r="14" spans="1:17" x14ac:dyDescent="0.2">
      <c r="A14" s="285"/>
      <c r="B14" s="286" t="s">
        <v>395</v>
      </c>
      <c r="C14" s="286"/>
      <c r="D14" s="286" t="s">
        <v>393</v>
      </c>
      <c r="E14" s="285" t="s">
        <v>301</v>
      </c>
      <c r="F14" s="285">
        <v>1</v>
      </c>
      <c r="G14" s="285">
        <v>0</v>
      </c>
      <c r="H14" s="285"/>
      <c r="I14" s="320"/>
      <c r="J14" s="285" t="s">
        <v>189</v>
      </c>
      <c r="K14" s="285"/>
      <c r="L14" s="288"/>
      <c r="M14" s="288"/>
      <c r="N14" s="310"/>
      <c r="O14" s="313"/>
    </row>
    <row r="15" spans="1:17" x14ac:dyDescent="0.2">
      <c r="A15" s="285"/>
      <c r="B15" s="286" t="s">
        <v>395</v>
      </c>
      <c r="C15" s="286"/>
      <c r="D15" s="286" t="s">
        <v>394</v>
      </c>
      <c r="E15" s="285" t="s">
        <v>301</v>
      </c>
      <c r="F15" s="285">
        <v>1</v>
      </c>
      <c r="G15" s="285">
        <v>0</v>
      </c>
      <c r="H15" s="285"/>
      <c r="I15" s="320"/>
      <c r="J15" s="285" t="s">
        <v>189</v>
      </c>
      <c r="K15" s="285"/>
      <c r="L15" s="288"/>
      <c r="M15" s="288"/>
      <c r="N15" s="310"/>
      <c r="O15" s="313"/>
    </row>
    <row r="16" spans="1:17" x14ac:dyDescent="0.2">
      <c r="A16" s="285"/>
      <c r="B16" s="286" t="s">
        <v>378</v>
      </c>
      <c r="C16" s="286"/>
      <c r="D16" s="286" t="s">
        <v>396</v>
      </c>
      <c r="E16" s="285" t="s">
        <v>301</v>
      </c>
      <c r="F16" s="285">
        <v>1</v>
      </c>
      <c r="G16" s="285">
        <v>0</v>
      </c>
      <c r="H16" s="285"/>
      <c r="I16" s="321"/>
      <c r="J16" s="285" t="s">
        <v>189</v>
      </c>
      <c r="K16" s="285"/>
      <c r="L16" s="288"/>
      <c r="M16" s="288"/>
      <c r="N16" s="311"/>
      <c r="O16" s="314"/>
    </row>
    <row r="17" spans="1:15" hidden="1" x14ac:dyDescent="0.2">
      <c r="A17" s="285"/>
      <c r="B17" s="286"/>
      <c r="C17" s="286"/>
      <c r="D17" s="286"/>
      <c r="E17" s="285"/>
      <c r="F17" s="285"/>
      <c r="G17" s="285"/>
      <c r="H17" s="285"/>
      <c r="I17" s="287"/>
      <c r="J17" s="285"/>
      <c r="K17" s="285"/>
      <c r="L17" s="288"/>
      <c r="M17" s="288"/>
      <c r="N17" s="285"/>
      <c r="O17" s="289"/>
    </row>
    <row r="18" spans="1:15" hidden="1" x14ac:dyDescent="0.2">
      <c r="A18" s="285"/>
      <c r="B18" s="286"/>
      <c r="C18" s="286"/>
      <c r="D18" s="286"/>
      <c r="E18" s="285"/>
      <c r="F18" s="285"/>
      <c r="G18" s="285"/>
      <c r="H18" s="285"/>
      <c r="I18" s="287"/>
      <c r="J18" s="285"/>
      <c r="K18" s="285"/>
      <c r="L18" s="288"/>
      <c r="M18" s="288"/>
      <c r="N18" s="285"/>
      <c r="O18" s="289"/>
    </row>
    <row r="19" spans="1:15" hidden="1"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5">
    <mergeCell ref="A8:C8"/>
    <mergeCell ref="D8:O8"/>
    <mergeCell ref="A5:O5"/>
    <mergeCell ref="A6:C6"/>
    <mergeCell ref="D6:O6"/>
    <mergeCell ref="A7:C7"/>
    <mergeCell ref="D7:O7"/>
    <mergeCell ref="A9:C9"/>
    <mergeCell ref="D9:O9"/>
    <mergeCell ref="A11:O11"/>
    <mergeCell ref="A31:O31"/>
    <mergeCell ref="A32:C32"/>
    <mergeCell ref="D32:F32"/>
    <mergeCell ref="G32:K32"/>
    <mergeCell ref="L32:O32"/>
    <mergeCell ref="N13:N16"/>
    <mergeCell ref="I13:I16"/>
    <mergeCell ref="O13:O16"/>
    <mergeCell ref="A33:C33"/>
    <mergeCell ref="D33:F33"/>
    <mergeCell ref="G33:K33"/>
    <mergeCell ref="L33:O33"/>
    <mergeCell ref="A34:C34"/>
    <mergeCell ref="D34:F34"/>
    <mergeCell ref="G34:K34"/>
    <mergeCell ref="L34:O34"/>
    <mergeCell ref="A35:C35"/>
    <mergeCell ref="D35:F35"/>
    <mergeCell ref="G35:K35"/>
    <mergeCell ref="L35:O35"/>
    <mergeCell ref="A36:C36"/>
    <mergeCell ref="D36:F36"/>
    <mergeCell ref="G36:K36"/>
    <mergeCell ref="L36:O36"/>
    <mergeCell ref="L37:O37"/>
    <mergeCell ref="A39:O39"/>
    <mergeCell ref="A40:D40"/>
    <mergeCell ref="E40:H40"/>
    <mergeCell ref="I40:K40"/>
    <mergeCell ref="L40:O40"/>
    <mergeCell ref="A37:C37"/>
    <mergeCell ref="D37:F37"/>
    <mergeCell ref="G37:K37"/>
    <mergeCell ref="A47:O47"/>
    <mergeCell ref="A48:O51"/>
    <mergeCell ref="A43:D43"/>
    <mergeCell ref="E43:H43"/>
    <mergeCell ref="I43:K43"/>
    <mergeCell ref="L43:O43"/>
    <mergeCell ref="A44:D44"/>
    <mergeCell ref="E44:H44"/>
    <mergeCell ref="I44:K44"/>
    <mergeCell ref="L44:O44"/>
    <mergeCell ref="A45:D45"/>
    <mergeCell ref="E45:H45"/>
    <mergeCell ref="I45:K45"/>
    <mergeCell ref="L45:O45"/>
    <mergeCell ref="A41:D41"/>
    <mergeCell ref="E41:H41"/>
    <mergeCell ref="I41:K41"/>
    <mergeCell ref="L41:O41"/>
    <mergeCell ref="A42:D42"/>
    <mergeCell ref="E42:H42"/>
    <mergeCell ref="I42:K42"/>
    <mergeCell ref="L42:O42"/>
  </mergeCells>
  <conditionalFormatting sqref="A13:C13 E13:H13 J13:M16 A14:H16 A17:O29">
    <cfRule type="expression" dxfId="59" priority="1">
      <formula>$J13="Khẩn"</formula>
    </cfRule>
    <cfRule type="expression" dxfId="58" priority="2">
      <formula>$J13="Bình thường"</formula>
    </cfRule>
    <cfRule type="expression" dxfId="57" priority="3">
      <formula>$J13="Dự phòng"</formula>
    </cfRule>
    <cfRule type="expression" dxfId="56" priority="4">
      <formula>AND($F13&gt;$G13,$F13&gt;0)</formula>
    </cfRule>
  </conditionalFormatting>
  <conditionalFormatting sqref="I13 N13:O13">
    <cfRule type="expression" dxfId="55" priority="33">
      <formula>$J16="Khẩn"</formula>
    </cfRule>
    <cfRule type="expression" dxfId="54" priority="34">
      <formula>$J16="Bình thường"</formula>
    </cfRule>
    <cfRule type="expression" dxfId="53" priority="35">
      <formula>$J16="Dự phòng"</formula>
    </cfRule>
    <cfRule type="expression" dxfId="52" priority="36">
      <formula>AND($F16&gt;$G16,$F16&gt;0)</formula>
    </cfRule>
  </conditionalFormatting>
  <dataValidations count="2">
    <dataValidation type="list" allowBlank="1" showInputMessage="1" showErrorMessage="1" sqref="K13:K29" xr:uid="{D9FAB5ED-5BA9-4C00-971B-0954B6F7EFF4}">
      <formula1>"CCDC,NPL,Tiêu hao"</formula1>
    </dataValidation>
    <dataValidation type="list" allowBlank="1" showInputMessage="1" showErrorMessage="1" sqref="J13:J29" xr:uid="{41BA7B4A-21A5-4051-A778-3ED5F2DF0087}">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017068-3728-4C6F-B007-B55592466341}">
          <x14:formula1>
            <xm:f>DATA!$B:$B</xm:f>
          </x14:formula1>
          <xm:sqref>E13:E29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0E7C-BA35-4192-8C60-BE4F680867A6}">
  <dimension ref="A1:Q52"/>
  <sheetViews>
    <sheetView zoomScaleNormal="100" zoomScaleSheetLayoutView="100" workbookViewId="0">
      <selection activeCell="Q30" sqref="Q30"/>
    </sheetView>
  </sheetViews>
  <sheetFormatPr defaultColWidth="8.5703125" defaultRowHeight="15.75" x14ac:dyDescent="0.2"/>
  <cols>
    <col min="1" max="1" width="4.140625" style="171" customWidth="1"/>
    <col min="2" max="2" width="27.42578125" style="171" customWidth="1"/>
    <col min="3" max="3" width="0.7109375" style="171" hidden="1" customWidth="1"/>
    <col min="4" max="4" width="24.8554687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275" t="s">
        <v>165</v>
      </c>
      <c r="O2" s="283" t="str">
        <f ca="1">P2&amp;"/PRD-MRF/"&amp;TEXT(O3,"MMYY")&amp;Q2</f>
        <v>86/PRD-MRF/0526</v>
      </c>
      <c r="P2" s="277">
        <v>86</v>
      </c>
      <c r="Q2" s="278"/>
    </row>
    <row r="3" spans="1:17" ht="31.5" x14ac:dyDescent="0.2">
      <c r="A3" s="269"/>
      <c r="B3" s="270"/>
      <c r="C3" s="270"/>
      <c r="D3" s="271" t="s">
        <v>166</v>
      </c>
      <c r="E3" s="276"/>
      <c r="F3" s="272"/>
      <c r="G3" s="272"/>
      <c r="H3" s="272"/>
      <c r="I3" s="272"/>
      <c r="J3" s="272"/>
      <c r="K3" s="273"/>
      <c r="L3" s="174"/>
      <c r="M3" s="174"/>
      <c r="N3" s="274" t="s">
        <v>349</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399</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63"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c r="B13" s="423" t="s">
        <v>404</v>
      </c>
      <c r="C13" s="286"/>
      <c r="D13" s="286" t="s">
        <v>401</v>
      </c>
      <c r="E13" s="285" t="s">
        <v>324</v>
      </c>
      <c r="F13" s="285">
        <v>3</v>
      </c>
      <c r="G13" s="285">
        <v>0</v>
      </c>
      <c r="H13" s="285"/>
      <c r="I13" s="319" t="s">
        <v>405</v>
      </c>
      <c r="J13" s="285" t="s">
        <v>189</v>
      </c>
      <c r="K13" s="285" t="s">
        <v>190</v>
      </c>
      <c r="L13" s="288"/>
      <c r="M13" s="288" t="str">
        <f t="shared" ref="M13:M29" si="0">IF(AND(ISNUMBER(F13),ISNUMBER(L13)),F13*L13,"")</f>
        <v/>
      </c>
      <c r="N13" s="426" t="s">
        <v>406</v>
      </c>
      <c r="O13" s="289"/>
    </row>
    <row r="14" spans="1:17" x14ac:dyDescent="0.2">
      <c r="A14" s="285"/>
      <c r="B14" s="424"/>
      <c r="C14" s="286"/>
      <c r="D14" s="286" t="s">
        <v>402</v>
      </c>
      <c r="E14" s="285" t="s">
        <v>324</v>
      </c>
      <c r="F14" s="285">
        <v>3</v>
      </c>
      <c r="G14" s="285">
        <v>0</v>
      </c>
      <c r="H14" s="285"/>
      <c r="I14" s="320"/>
      <c r="J14" s="285" t="s">
        <v>189</v>
      </c>
      <c r="K14" s="285" t="s">
        <v>190</v>
      </c>
      <c r="L14" s="288"/>
      <c r="M14" s="288"/>
      <c r="N14" s="427"/>
      <c r="O14" s="289"/>
    </row>
    <row r="15" spans="1:17" x14ac:dyDescent="0.2">
      <c r="A15" s="285"/>
      <c r="B15" s="425"/>
      <c r="C15" s="286"/>
      <c r="D15" s="286" t="s">
        <v>403</v>
      </c>
      <c r="E15" s="285" t="s">
        <v>324</v>
      </c>
      <c r="F15" s="285">
        <v>3</v>
      </c>
      <c r="G15" s="285">
        <v>0</v>
      </c>
      <c r="H15" s="285"/>
      <c r="I15" s="321"/>
      <c r="J15" s="285" t="s">
        <v>189</v>
      </c>
      <c r="K15" s="285" t="s">
        <v>190</v>
      </c>
      <c r="L15" s="288"/>
      <c r="M15" s="288"/>
      <c r="N15" s="428"/>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5">
    <mergeCell ref="A41:D41"/>
    <mergeCell ref="E41:H41"/>
    <mergeCell ref="I41:K41"/>
    <mergeCell ref="L41:O41"/>
    <mergeCell ref="A42:D42"/>
    <mergeCell ref="E42:H42"/>
    <mergeCell ref="I42:K42"/>
    <mergeCell ref="L42:O42"/>
    <mergeCell ref="A47:O47"/>
    <mergeCell ref="A48:O51"/>
    <mergeCell ref="A43:D43"/>
    <mergeCell ref="E43:H43"/>
    <mergeCell ref="I43:K43"/>
    <mergeCell ref="L43:O43"/>
    <mergeCell ref="A44:D44"/>
    <mergeCell ref="E44:H44"/>
    <mergeCell ref="I44:K44"/>
    <mergeCell ref="L44:O44"/>
    <mergeCell ref="A45:D45"/>
    <mergeCell ref="E45:H45"/>
    <mergeCell ref="I45:K45"/>
    <mergeCell ref="L45:O45"/>
    <mergeCell ref="L37:O37"/>
    <mergeCell ref="A39:O39"/>
    <mergeCell ref="A40:D40"/>
    <mergeCell ref="E40:H40"/>
    <mergeCell ref="I40:K40"/>
    <mergeCell ref="L40:O40"/>
    <mergeCell ref="A37:C37"/>
    <mergeCell ref="D37:F37"/>
    <mergeCell ref="G37:K37"/>
    <mergeCell ref="A35:C35"/>
    <mergeCell ref="D35:F35"/>
    <mergeCell ref="G35:K35"/>
    <mergeCell ref="L35:O35"/>
    <mergeCell ref="A36:C36"/>
    <mergeCell ref="D36:F36"/>
    <mergeCell ref="G36:K36"/>
    <mergeCell ref="L36:O36"/>
    <mergeCell ref="A33:C33"/>
    <mergeCell ref="D33:F33"/>
    <mergeCell ref="G33:K33"/>
    <mergeCell ref="L33:O33"/>
    <mergeCell ref="A34:C34"/>
    <mergeCell ref="D34:F34"/>
    <mergeCell ref="G34:K34"/>
    <mergeCell ref="L34:O34"/>
    <mergeCell ref="A9:C9"/>
    <mergeCell ref="D9:O9"/>
    <mergeCell ref="A11:O11"/>
    <mergeCell ref="A31:O31"/>
    <mergeCell ref="A32:C32"/>
    <mergeCell ref="D32:F32"/>
    <mergeCell ref="G32:K32"/>
    <mergeCell ref="L32:O32"/>
    <mergeCell ref="B13:B15"/>
    <mergeCell ref="I13:I15"/>
    <mergeCell ref="N13:N15"/>
    <mergeCell ref="A8:C8"/>
    <mergeCell ref="D8:O8"/>
    <mergeCell ref="A5:O5"/>
    <mergeCell ref="A6:C6"/>
    <mergeCell ref="D6:O6"/>
    <mergeCell ref="A7:C7"/>
    <mergeCell ref="D7:O7"/>
  </mergeCells>
  <conditionalFormatting sqref="C13:M13 A13:A15 O13:O15 C14:H15 J14:M15 A16:O29">
    <cfRule type="expression" dxfId="51" priority="1">
      <formula>$J13="Khẩn"</formula>
    </cfRule>
    <cfRule type="expression" dxfId="50" priority="2">
      <formula>$J13="Bình thường"</formula>
    </cfRule>
    <cfRule type="expression" dxfId="49" priority="3">
      <formula>$J13="Dự phòng"</formula>
    </cfRule>
    <cfRule type="expression" dxfId="48" priority="4">
      <formula>AND($F13&gt;$G13,$F13&gt;0)</formula>
    </cfRule>
  </conditionalFormatting>
  <dataValidations count="2">
    <dataValidation type="list" allowBlank="1" showInputMessage="1" showErrorMessage="1" sqref="K13:K29" xr:uid="{4032C2B6-BE59-4FCF-8BB6-007F002E396A}">
      <formula1>"CCDC,NPL,Tiêu hao"</formula1>
    </dataValidation>
    <dataValidation type="list" allowBlank="1" showInputMessage="1" showErrorMessage="1" sqref="J13:J29" xr:uid="{FCE92329-568A-4A6C-AA4A-1B01DB4CB7AD}">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B2354DA-5A40-4F1B-A507-174134E08C90}">
          <x14:formula1>
            <xm:f>DATA!$B:$B</xm:f>
          </x14:formula1>
          <xm:sqref>E13:E29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CCDA-79B5-44EB-BBE4-7BAE4D7B5461}">
  <dimension ref="A1:Q52"/>
  <sheetViews>
    <sheetView zoomScaleNormal="100" zoomScaleSheetLayoutView="100" workbookViewId="0">
      <selection activeCell="P12" sqref="P12"/>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87/PRD-MRF/0526</v>
      </c>
      <c r="P2" s="277">
        <v>87</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v>1</v>
      </c>
      <c r="B13" s="286" t="s">
        <v>410</v>
      </c>
      <c r="C13" s="286"/>
      <c r="D13" s="286" t="s">
        <v>408</v>
      </c>
      <c r="E13" s="285" t="s">
        <v>301</v>
      </c>
      <c r="F13" s="285">
        <v>6</v>
      </c>
      <c r="G13" s="285">
        <v>0</v>
      </c>
      <c r="H13" s="285"/>
      <c r="I13" s="319" t="s">
        <v>412</v>
      </c>
      <c r="J13" s="285" t="s">
        <v>189</v>
      </c>
      <c r="K13" s="285" t="s">
        <v>190</v>
      </c>
      <c r="L13" s="288"/>
      <c r="M13" s="288" t="str">
        <f t="shared" ref="M13:M29" si="0">IF(AND(ISNUMBER(F13),ISNUMBER(L13)),F13*L13,"")</f>
        <v/>
      </c>
      <c r="N13" s="423" t="s">
        <v>359</v>
      </c>
      <c r="O13" s="312" t="s">
        <v>415</v>
      </c>
    </row>
    <row r="14" spans="1:17" x14ac:dyDescent="0.2">
      <c r="A14" s="285">
        <v>2</v>
      </c>
      <c r="B14" s="286" t="s">
        <v>410</v>
      </c>
      <c r="C14" s="286"/>
      <c r="D14" s="286" t="s">
        <v>409</v>
      </c>
      <c r="E14" s="285" t="s">
        <v>301</v>
      </c>
      <c r="F14" s="285">
        <v>8</v>
      </c>
      <c r="G14" s="285">
        <v>0</v>
      </c>
      <c r="H14" s="285"/>
      <c r="I14" s="320"/>
      <c r="J14" s="285" t="s">
        <v>189</v>
      </c>
      <c r="K14" s="285" t="s">
        <v>190</v>
      </c>
      <c r="L14" s="288"/>
      <c r="M14" s="288"/>
      <c r="N14" s="425"/>
      <c r="O14" s="313"/>
    </row>
    <row r="15" spans="1:17" x14ac:dyDescent="0.2">
      <c r="A15" s="285">
        <v>3</v>
      </c>
      <c r="B15" s="286" t="s">
        <v>411</v>
      </c>
      <c r="C15" s="286"/>
      <c r="D15" s="286" t="s">
        <v>380</v>
      </c>
      <c r="E15" s="285" t="s">
        <v>301</v>
      </c>
      <c r="F15" s="285">
        <v>2</v>
      </c>
      <c r="G15" s="285">
        <v>0</v>
      </c>
      <c r="H15" s="285"/>
      <c r="I15" s="321"/>
      <c r="J15" s="285" t="s">
        <v>189</v>
      </c>
      <c r="K15" s="285" t="s">
        <v>190</v>
      </c>
      <c r="L15" s="288"/>
      <c r="M15" s="288"/>
      <c r="N15" s="309" t="s">
        <v>389</v>
      </c>
      <c r="O15" s="313"/>
    </row>
    <row r="16" spans="1:17" x14ac:dyDescent="0.2">
      <c r="A16" s="285">
        <v>4</v>
      </c>
      <c r="B16" s="286" t="s">
        <v>414</v>
      </c>
      <c r="C16" s="286"/>
      <c r="D16" s="286" t="s">
        <v>413</v>
      </c>
      <c r="E16" s="285" t="s">
        <v>301</v>
      </c>
      <c r="F16" s="285">
        <v>2</v>
      </c>
      <c r="G16" s="285">
        <v>0</v>
      </c>
      <c r="H16" s="285"/>
      <c r="I16" s="287"/>
      <c r="J16" s="285" t="s">
        <v>189</v>
      </c>
      <c r="K16" s="285" t="s">
        <v>190</v>
      </c>
      <c r="L16" s="288"/>
      <c r="M16" s="288"/>
      <c r="N16" s="311"/>
      <c r="O16" s="314"/>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6">
    <mergeCell ref="A31:O31"/>
    <mergeCell ref="A5:O5"/>
    <mergeCell ref="A6:C6"/>
    <mergeCell ref="D6:O6"/>
    <mergeCell ref="A7:C7"/>
    <mergeCell ref="D7:O7"/>
    <mergeCell ref="A8:C8"/>
    <mergeCell ref="D8:O8"/>
    <mergeCell ref="A9:C9"/>
    <mergeCell ref="D9:O9"/>
    <mergeCell ref="A11:O11"/>
    <mergeCell ref="I13:I15"/>
    <mergeCell ref="N13:N14"/>
    <mergeCell ref="A32:C32"/>
    <mergeCell ref="D32:F32"/>
    <mergeCell ref="G32:K32"/>
    <mergeCell ref="L32:O32"/>
    <mergeCell ref="A33:C33"/>
    <mergeCell ref="D33:F33"/>
    <mergeCell ref="G33:K33"/>
    <mergeCell ref="L33:O33"/>
    <mergeCell ref="A34:C34"/>
    <mergeCell ref="D34:F34"/>
    <mergeCell ref="G34:K34"/>
    <mergeCell ref="L34:O34"/>
    <mergeCell ref="A35:C35"/>
    <mergeCell ref="D35:F35"/>
    <mergeCell ref="G35:K35"/>
    <mergeCell ref="L35:O35"/>
    <mergeCell ref="A36:C36"/>
    <mergeCell ref="D36:F36"/>
    <mergeCell ref="G36:K36"/>
    <mergeCell ref="L36:O36"/>
    <mergeCell ref="A37:C37"/>
    <mergeCell ref="D37:F37"/>
    <mergeCell ref="G37:K37"/>
    <mergeCell ref="L37:O37"/>
    <mergeCell ref="A43:D43"/>
    <mergeCell ref="E43:H43"/>
    <mergeCell ref="I43:K43"/>
    <mergeCell ref="L43:O43"/>
    <mergeCell ref="A39:O39"/>
    <mergeCell ref="A40:D40"/>
    <mergeCell ref="E40:H40"/>
    <mergeCell ref="I40:K40"/>
    <mergeCell ref="L40:O40"/>
    <mergeCell ref="A41:D41"/>
    <mergeCell ref="E41:H41"/>
    <mergeCell ref="I41:K41"/>
    <mergeCell ref="L41:O41"/>
    <mergeCell ref="A47:O47"/>
    <mergeCell ref="A48:O51"/>
    <mergeCell ref="N15:N16"/>
    <mergeCell ref="O13:O16"/>
    <mergeCell ref="A44:D44"/>
    <mergeCell ref="E44:H44"/>
    <mergeCell ref="I44:K44"/>
    <mergeCell ref="L44:O44"/>
    <mergeCell ref="A45:D45"/>
    <mergeCell ref="E45:H45"/>
    <mergeCell ref="I45:K45"/>
    <mergeCell ref="L45:O45"/>
    <mergeCell ref="A42:D42"/>
    <mergeCell ref="E42:H42"/>
    <mergeCell ref="I42:K42"/>
    <mergeCell ref="L42:O42"/>
  </mergeCells>
  <conditionalFormatting sqref="A13:M13 O13 J14:M14 A14:H15 J15:N15 A16:M16 A17:O29">
    <cfRule type="expression" dxfId="47" priority="1">
      <formula>$J13="Khẩn"</formula>
    </cfRule>
    <cfRule type="expression" dxfId="46" priority="2">
      <formula>$J13="Bình thường"</formula>
    </cfRule>
    <cfRule type="expression" dxfId="45" priority="3">
      <formula>$J13="Dự phòng"</formula>
    </cfRule>
    <cfRule type="expression" dxfId="44" priority="4">
      <formula>AND($F13&gt;$G13,$F13&gt;0)</formula>
    </cfRule>
  </conditionalFormatting>
  <dataValidations count="2">
    <dataValidation type="list" allowBlank="1" showInputMessage="1" showErrorMessage="1" sqref="K13:K29" xr:uid="{D4ADB83B-6CF6-4544-A3D6-D518AADD5A08}">
      <formula1>"CCDC,NPL,Tiêu hao"</formula1>
    </dataValidation>
    <dataValidation type="list" allowBlank="1" showInputMessage="1" showErrorMessage="1" sqref="J13:J29" xr:uid="{3073EDAA-E0A1-4CAE-8B74-164088F6C4F7}">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7F5A224-CDAD-4E21-B116-9EDD8C614ADA}">
          <x14:formula1>
            <xm:f>DATA!$B:$B</xm:f>
          </x14:formula1>
          <xm:sqref>E13:E29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3C12-7BE7-401B-9D66-4D3722AB14A6}">
  <dimension ref="A1:Q52"/>
  <sheetViews>
    <sheetView zoomScaleNormal="100" zoomScaleSheetLayoutView="100" workbookViewId="0">
      <selection activeCell="I14" sqref="I14"/>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88/PRD-MRF/0526</v>
      </c>
      <c r="P2" s="277">
        <v>88</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ht="38.25" x14ac:dyDescent="0.2">
      <c r="A13" s="285"/>
      <c r="B13" s="286" t="s">
        <v>418</v>
      </c>
      <c r="C13" s="286"/>
      <c r="D13" s="286" t="s">
        <v>417</v>
      </c>
      <c r="E13" s="285" t="s">
        <v>324</v>
      </c>
      <c r="F13" s="285">
        <v>12</v>
      </c>
      <c r="G13" s="285">
        <v>0</v>
      </c>
      <c r="H13" s="285"/>
      <c r="I13" s="287"/>
      <c r="J13" s="285" t="s">
        <v>189</v>
      </c>
      <c r="K13" s="285" t="s">
        <v>190</v>
      </c>
      <c r="L13" s="288"/>
      <c r="M13" s="288" t="str">
        <f t="shared" ref="M13:M29" si="0">IF(AND(ISNUMBER(F13),ISNUMBER(L13)),F13*L13,"")</f>
        <v/>
      </c>
      <c r="N13" s="285" t="s">
        <v>419</v>
      </c>
      <c r="O13" s="289" t="s">
        <v>420</v>
      </c>
    </row>
    <row r="14" spans="1:17" x14ac:dyDescent="0.2">
      <c r="A14" s="285"/>
      <c r="B14" s="286"/>
      <c r="C14" s="286"/>
      <c r="D14" s="286"/>
      <c r="E14" s="285"/>
      <c r="F14" s="285"/>
      <c r="G14" s="285"/>
      <c r="H14" s="285"/>
      <c r="I14" s="287"/>
      <c r="J14" s="285"/>
      <c r="K14" s="285"/>
      <c r="L14" s="288"/>
      <c r="M14" s="288"/>
      <c r="N14" s="285"/>
      <c r="O14" s="289"/>
    </row>
    <row r="15" spans="1:17" x14ac:dyDescent="0.2">
      <c r="A15" s="285"/>
      <c r="B15" s="286"/>
      <c r="C15" s="286"/>
      <c r="D15" s="286"/>
      <c r="E15" s="285"/>
      <c r="F15" s="285"/>
      <c r="G15" s="285"/>
      <c r="H15" s="285"/>
      <c r="I15" s="287"/>
      <c r="J15" s="285"/>
      <c r="K15" s="285"/>
      <c r="L15" s="288"/>
      <c r="M15" s="288"/>
      <c r="N15" s="285"/>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2">
    <mergeCell ref="A48:O51"/>
    <mergeCell ref="A43:D43"/>
    <mergeCell ref="E43:H43"/>
    <mergeCell ref="I43:K43"/>
    <mergeCell ref="L43:O43"/>
    <mergeCell ref="A44:D44"/>
    <mergeCell ref="E44:H44"/>
    <mergeCell ref="I44:K44"/>
    <mergeCell ref="L44:O44"/>
    <mergeCell ref="A45:D45"/>
    <mergeCell ref="E45:H45"/>
    <mergeCell ref="I45:K45"/>
    <mergeCell ref="L37:O37"/>
    <mergeCell ref="L45:O45"/>
    <mergeCell ref="A47:O47"/>
    <mergeCell ref="A41:D41"/>
    <mergeCell ref="E41:H41"/>
    <mergeCell ref="I41:K41"/>
    <mergeCell ref="L41:O41"/>
    <mergeCell ref="A42:D42"/>
    <mergeCell ref="E42:H42"/>
    <mergeCell ref="I42:K42"/>
    <mergeCell ref="L42:O42"/>
    <mergeCell ref="A34:C34"/>
    <mergeCell ref="D34:F34"/>
    <mergeCell ref="G34:K34"/>
    <mergeCell ref="L34:O34"/>
    <mergeCell ref="A40:D40"/>
    <mergeCell ref="E40:H40"/>
    <mergeCell ref="I40:K40"/>
    <mergeCell ref="L40:O40"/>
    <mergeCell ref="A36:C36"/>
    <mergeCell ref="D36:F36"/>
    <mergeCell ref="G36:K36"/>
    <mergeCell ref="L36:O36"/>
    <mergeCell ref="A39:O39"/>
    <mergeCell ref="A37:C37"/>
    <mergeCell ref="D37:F37"/>
    <mergeCell ref="G37:K37"/>
    <mergeCell ref="A35:C35"/>
    <mergeCell ref="D35:F35"/>
    <mergeCell ref="G35:K35"/>
    <mergeCell ref="L35:O35"/>
    <mergeCell ref="A9:C9"/>
    <mergeCell ref="D9:O9"/>
    <mergeCell ref="A11:O11"/>
    <mergeCell ref="A31:O31"/>
    <mergeCell ref="A32:C32"/>
    <mergeCell ref="D32:F32"/>
    <mergeCell ref="G32:K32"/>
    <mergeCell ref="L32:O32"/>
    <mergeCell ref="A33:C33"/>
    <mergeCell ref="D33:F33"/>
    <mergeCell ref="G33:K33"/>
    <mergeCell ref="L33:O33"/>
    <mergeCell ref="A8:C8"/>
    <mergeCell ref="D8:O8"/>
    <mergeCell ref="A5:O5"/>
    <mergeCell ref="A6:C6"/>
    <mergeCell ref="D6:O6"/>
    <mergeCell ref="A7:C7"/>
    <mergeCell ref="D7:O7"/>
  </mergeCells>
  <conditionalFormatting sqref="A13:O29">
    <cfRule type="expression" dxfId="43" priority="1">
      <formula>$J13="Khẩn"</formula>
    </cfRule>
    <cfRule type="expression" dxfId="42" priority="2">
      <formula>$J13="Bình thường"</formula>
    </cfRule>
    <cfRule type="expression" dxfId="41" priority="3">
      <formula>$J13="Dự phòng"</formula>
    </cfRule>
    <cfRule type="expression" dxfId="40" priority="4">
      <formula>AND($F13&gt;$G13,$F13&gt;0)</formula>
    </cfRule>
  </conditionalFormatting>
  <dataValidations count="2">
    <dataValidation type="list" allowBlank="1" showInputMessage="1" showErrorMessage="1" sqref="K13:K29" xr:uid="{163B66B3-9B6E-4D3D-B7F2-A8428971D1F1}">
      <formula1>"CCDC,NPL,Tiêu hao"</formula1>
    </dataValidation>
    <dataValidation type="list" allowBlank="1" showInputMessage="1" showErrorMessage="1" sqref="J13:J29" xr:uid="{A571FBE7-37DC-405B-B700-B06EEE261E77}">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EFDD34-2168-46B5-8900-445206A926FC}">
          <x14:formula1>
            <xm:f>DATA!$B:$B</xm:f>
          </x14:formula1>
          <xm:sqref>E13:E29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0F2C-6179-4615-B477-796626E494B8}">
  <dimension ref="A1:Q52"/>
  <sheetViews>
    <sheetView zoomScaleNormal="100" zoomScaleSheetLayoutView="100" workbookViewId="0">
      <selection activeCell="P12" sqref="P12"/>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 width="8.5703125" style="171"/>
    <col min="17" max="17" width="9" style="171" bestFit="1" customWidth="1"/>
    <col min="18"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89/PRD-MRF/0526</v>
      </c>
      <c r="P2" s="277">
        <v>89</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426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Q12" s="302"/>
    </row>
    <row r="13" spans="1:17" x14ac:dyDescent="0.2">
      <c r="A13" s="285"/>
      <c r="B13" s="429" t="s">
        <v>423</v>
      </c>
      <c r="C13" s="286"/>
      <c r="D13" s="286" t="s">
        <v>421</v>
      </c>
      <c r="E13" s="285" t="s">
        <v>301</v>
      </c>
      <c r="F13" s="285">
        <v>4</v>
      </c>
      <c r="G13" s="285">
        <v>0</v>
      </c>
      <c r="H13" s="285"/>
      <c r="I13" s="319">
        <v>46060</v>
      </c>
      <c r="J13" s="309" t="s">
        <v>189</v>
      </c>
      <c r="K13" s="309" t="s">
        <v>190</v>
      </c>
      <c r="L13" s="288"/>
      <c r="M13" s="288" t="str">
        <f t="shared" ref="M13:M29" si="0">IF(AND(ISNUMBER(F13),ISNUMBER(L13)),F13*L13,"")</f>
        <v/>
      </c>
      <c r="N13" s="285" t="s">
        <v>424</v>
      </c>
      <c r="O13" s="289"/>
    </row>
    <row r="14" spans="1:17" x14ac:dyDescent="0.2">
      <c r="A14" s="285"/>
      <c r="B14" s="430"/>
      <c r="C14" s="286"/>
      <c r="D14" s="286" t="s">
        <v>422</v>
      </c>
      <c r="E14" s="285" t="s">
        <v>301</v>
      </c>
      <c r="F14" s="285">
        <v>1</v>
      </c>
      <c r="G14" s="285">
        <v>0</v>
      </c>
      <c r="H14" s="285"/>
      <c r="I14" s="321"/>
      <c r="J14" s="311"/>
      <c r="K14" s="311"/>
      <c r="L14" s="288"/>
      <c r="M14" s="288"/>
      <c r="N14" s="285" t="s">
        <v>425</v>
      </c>
      <c r="O14" s="289"/>
    </row>
    <row r="15" spans="1:17" x14ac:dyDescent="0.2">
      <c r="A15" s="285"/>
      <c r="B15" s="286"/>
      <c r="C15" s="286"/>
      <c r="D15" s="286"/>
      <c r="E15" s="285"/>
      <c r="F15" s="285"/>
      <c r="G15" s="285"/>
      <c r="H15" s="285"/>
      <c r="I15" s="287"/>
      <c r="J15" s="285"/>
      <c r="K15" s="285"/>
      <c r="L15" s="288"/>
      <c r="M15" s="288"/>
      <c r="N15" s="285"/>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6">
    <mergeCell ref="L45:O45"/>
    <mergeCell ref="A47:O47"/>
    <mergeCell ref="A48:O51"/>
    <mergeCell ref="A43:D43"/>
    <mergeCell ref="E43:H43"/>
    <mergeCell ref="I43:K43"/>
    <mergeCell ref="L43:O43"/>
    <mergeCell ref="A44:D44"/>
    <mergeCell ref="E44:H44"/>
    <mergeCell ref="I44:K44"/>
    <mergeCell ref="L44:O44"/>
    <mergeCell ref="A45:D45"/>
    <mergeCell ref="E45:H45"/>
    <mergeCell ref="I45:K45"/>
    <mergeCell ref="L41:O41"/>
    <mergeCell ref="A42:D42"/>
    <mergeCell ref="E42:H42"/>
    <mergeCell ref="I42:K42"/>
    <mergeCell ref="L42:O42"/>
    <mergeCell ref="A41:D41"/>
    <mergeCell ref="E41:H41"/>
    <mergeCell ref="I41:K41"/>
    <mergeCell ref="L37:O37"/>
    <mergeCell ref="A39:O39"/>
    <mergeCell ref="A40:D40"/>
    <mergeCell ref="E40:H40"/>
    <mergeCell ref="I40:K40"/>
    <mergeCell ref="L40:O40"/>
    <mergeCell ref="A37:C37"/>
    <mergeCell ref="D37:F37"/>
    <mergeCell ref="G37:K37"/>
    <mergeCell ref="L35:O35"/>
    <mergeCell ref="A36:C36"/>
    <mergeCell ref="D36:F36"/>
    <mergeCell ref="G36:K36"/>
    <mergeCell ref="L36:O36"/>
    <mergeCell ref="A35:C35"/>
    <mergeCell ref="D35:F35"/>
    <mergeCell ref="G35:K35"/>
    <mergeCell ref="G33:K33"/>
    <mergeCell ref="L33:O33"/>
    <mergeCell ref="A34:C34"/>
    <mergeCell ref="D34:F34"/>
    <mergeCell ref="G34:K34"/>
    <mergeCell ref="L34:O34"/>
    <mergeCell ref="A33:C33"/>
    <mergeCell ref="D33:F33"/>
    <mergeCell ref="A9:C9"/>
    <mergeCell ref="D9:O9"/>
    <mergeCell ref="A11:O11"/>
    <mergeCell ref="A31:O31"/>
    <mergeCell ref="A32:C32"/>
    <mergeCell ref="D32:F32"/>
    <mergeCell ref="G32:K32"/>
    <mergeCell ref="L32:O32"/>
    <mergeCell ref="B13:B14"/>
    <mergeCell ref="J13:J14"/>
    <mergeCell ref="I13:I14"/>
    <mergeCell ref="K13:K14"/>
    <mergeCell ref="A8:C8"/>
    <mergeCell ref="D8:O8"/>
    <mergeCell ref="A5:O5"/>
    <mergeCell ref="A6:C6"/>
    <mergeCell ref="D6:O6"/>
    <mergeCell ref="A7:C7"/>
    <mergeCell ref="D7:O7"/>
  </mergeCells>
  <conditionalFormatting sqref="A13:O13 A14 C14:H14 L14:O14 A15:O29">
    <cfRule type="expression" dxfId="39" priority="1">
      <formula>$J13="Khẩn"</formula>
    </cfRule>
    <cfRule type="expression" dxfId="38" priority="2">
      <formula>$J13="Bình thường"</formula>
    </cfRule>
    <cfRule type="expression" dxfId="37" priority="3">
      <formula>$J13="Dự phòng"</formula>
    </cfRule>
    <cfRule type="expression" dxfId="36" priority="4">
      <formula>AND($F13&gt;$G13,$F13&gt;0)</formula>
    </cfRule>
  </conditionalFormatting>
  <dataValidations count="2">
    <dataValidation type="list" allowBlank="1" showInputMessage="1" showErrorMessage="1" sqref="K13 K15:K29" xr:uid="{FC5654A0-6DB2-440E-911E-9E3DF13B8004}">
      <formula1>"CCDC,NPL,Tiêu hao"</formula1>
    </dataValidation>
    <dataValidation type="list" allowBlank="1" showInputMessage="1" showErrorMessage="1" sqref="J13 J15:J29" xr:uid="{E2EFE1FD-A4AC-48B4-895D-31ABFF1500E6}">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6F4EC99-B999-4579-96A7-A53BB1588021}">
          <x14:formula1>
            <xm:f>DATA!$B:$B</xm:f>
          </x14:formula1>
          <xm:sqref>E13:E29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31EF-BD7E-4600-9CC0-2059037863E8}">
  <dimension ref="A1:Q52"/>
  <sheetViews>
    <sheetView zoomScaleNormal="100" zoomScaleSheetLayoutView="100" workbookViewId="0">
      <selection activeCell="R36" sqref="R36"/>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90/PRD-MRF/0526</v>
      </c>
      <c r="P2" s="277">
        <v>90</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5">
      <c r="A13" s="285">
        <v>1</v>
      </c>
      <c r="B13" s="286" t="s">
        <v>378</v>
      </c>
      <c r="C13" s="286"/>
      <c r="D13" s="303" t="s">
        <v>427</v>
      </c>
      <c r="E13" s="285" t="s">
        <v>301</v>
      </c>
      <c r="F13" s="285">
        <v>1</v>
      </c>
      <c r="G13" s="285">
        <v>0</v>
      </c>
      <c r="H13" s="285"/>
      <c r="I13" s="319">
        <v>46267</v>
      </c>
      <c r="J13" s="285" t="s">
        <v>189</v>
      </c>
      <c r="K13" s="285" t="s">
        <v>190</v>
      </c>
      <c r="L13" s="288"/>
      <c r="M13" s="288" t="str">
        <f t="shared" ref="M13:M29" si="0">IF(AND(ISNUMBER(F13),ISNUMBER(L13)),F13*L13,"")</f>
        <v/>
      </c>
      <c r="N13" s="309" t="s">
        <v>429</v>
      </c>
      <c r="O13" s="289"/>
    </row>
    <row r="14" spans="1:17" x14ac:dyDescent="0.2">
      <c r="A14" s="285">
        <v>2</v>
      </c>
      <c r="B14" s="286" t="s">
        <v>378</v>
      </c>
      <c r="C14" s="286"/>
      <c r="D14" s="286" t="s">
        <v>428</v>
      </c>
      <c r="E14" s="285" t="s">
        <v>301</v>
      </c>
      <c r="F14" s="285">
        <v>3</v>
      </c>
      <c r="G14" s="285">
        <v>0</v>
      </c>
      <c r="H14" s="285"/>
      <c r="I14" s="321"/>
      <c r="J14" s="285" t="s">
        <v>189</v>
      </c>
      <c r="K14" s="285" t="s">
        <v>190</v>
      </c>
      <c r="L14" s="288"/>
      <c r="M14" s="288"/>
      <c r="N14" s="311"/>
      <c r="O14" s="289"/>
    </row>
    <row r="15" spans="1:17" x14ac:dyDescent="0.2">
      <c r="A15" s="285"/>
      <c r="B15" s="286"/>
      <c r="C15" s="286"/>
      <c r="D15" s="286"/>
      <c r="E15" s="285"/>
      <c r="F15" s="285"/>
      <c r="G15" s="285"/>
      <c r="H15" s="285"/>
      <c r="I15" s="287"/>
      <c r="J15" s="285"/>
      <c r="K15" s="285"/>
      <c r="L15" s="288"/>
      <c r="M15" s="288"/>
      <c r="N15" s="285"/>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4">
    <mergeCell ref="A8:C8"/>
    <mergeCell ref="D8:O8"/>
    <mergeCell ref="A5:O5"/>
    <mergeCell ref="A6:C6"/>
    <mergeCell ref="D6:O6"/>
    <mergeCell ref="A7:C7"/>
    <mergeCell ref="D7:O7"/>
    <mergeCell ref="A35:C35"/>
    <mergeCell ref="D35:F35"/>
    <mergeCell ref="G35:K35"/>
    <mergeCell ref="L35:O35"/>
    <mergeCell ref="A9:C9"/>
    <mergeCell ref="D9:O9"/>
    <mergeCell ref="A11:O11"/>
    <mergeCell ref="A31:O31"/>
    <mergeCell ref="A32:C32"/>
    <mergeCell ref="D32:F32"/>
    <mergeCell ref="G32:K32"/>
    <mergeCell ref="L32:O32"/>
    <mergeCell ref="N13:N14"/>
    <mergeCell ref="I13:I14"/>
    <mergeCell ref="A33:C33"/>
    <mergeCell ref="D33:F33"/>
    <mergeCell ref="G33:K33"/>
    <mergeCell ref="L33:O33"/>
    <mergeCell ref="A34:C34"/>
    <mergeCell ref="D34:F34"/>
    <mergeCell ref="G34:K34"/>
    <mergeCell ref="L34:O34"/>
    <mergeCell ref="A40:D40"/>
    <mergeCell ref="E40:H40"/>
    <mergeCell ref="I40:K40"/>
    <mergeCell ref="L40:O40"/>
    <mergeCell ref="A36:C36"/>
    <mergeCell ref="D36:F36"/>
    <mergeCell ref="G36:K36"/>
    <mergeCell ref="L36:O36"/>
    <mergeCell ref="A39:O39"/>
    <mergeCell ref="A37:C37"/>
    <mergeCell ref="D37:F37"/>
    <mergeCell ref="G37:K37"/>
    <mergeCell ref="L37:O37"/>
    <mergeCell ref="A41:D41"/>
    <mergeCell ref="E41:H41"/>
    <mergeCell ref="I41:K41"/>
    <mergeCell ref="L41:O41"/>
    <mergeCell ref="A42:D42"/>
    <mergeCell ref="E42:H42"/>
    <mergeCell ref="I42:K42"/>
    <mergeCell ref="L42:O42"/>
    <mergeCell ref="A48:O51"/>
    <mergeCell ref="A43:D43"/>
    <mergeCell ref="E43:H43"/>
    <mergeCell ref="I43:K43"/>
    <mergeCell ref="L43:O43"/>
    <mergeCell ref="A44:D44"/>
    <mergeCell ref="E44:H44"/>
    <mergeCell ref="I44:K44"/>
    <mergeCell ref="L44:O44"/>
    <mergeCell ref="A45:D45"/>
    <mergeCell ref="E45:H45"/>
    <mergeCell ref="I45:K45"/>
    <mergeCell ref="L45:O45"/>
    <mergeCell ref="A47:O47"/>
  </mergeCells>
  <conditionalFormatting sqref="A13:C13 E13:O13 A14:H14 J14:M14 O14 A15:O29">
    <cfRule type="expression" dxfId="35" priority="1">
      <formula>$J13="Khẩn"</formula>
    </cfRule>
    <cfRule type="expression" dxfId="34" priority="2">
      <formula>$J13="Bình thường"</formula>
    </cfRule>
    <cfRule type="expression" dxfId="33" priority="3">
      <formula>$J13="Dự phòng"</formula>
    </cfRule>
    <cfRule type="expression" dxfId="32" priority="4">
      <formula>AND($F13&gt;$G13,$F13&gt;0)</formula>
    </cfRule>
  </conditionalFormatting>
  <dataValidations count="2">
    <dataValidation type="list" allowBlank="1" showInputMessage="1" showErrorMessage="1" sqref="K13:K29" xr:uid="{BE8373AB-E1D5-4D53-9BDA-E359F5534F70}">
      <formula1>"CCDC,NPL,Tiêu hao"</formula1>
    </dataValidation>
    <dataValidation type="list" allowBlank="1" showInputMessage="1" showErrorMessage="1" sqref="J13:J29" xr:uid="{0EE7F587-7079-4073-AA5F-614160F0C51C}">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F3F9EB3-439A-4951-B854-5B1281E5124A}">
          <x14:formula1>
            <xm:f>DATA!$B:$B</xm:f>
          </x14:formula1>
          <xm:sqref>E13:E29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3998-41B7-4E5A-A634-AFFFC7E5CEEB}">
  <dimension ref="A1:Q52"/>
  <sheetViews>
    <sheetView zoomScaleNormal="100" zoomScaleSheetLayoutView="100" workbookViewId="0">
      <selection activeCell="P12" sqref="P12"/>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91/PRD-MRF/0526</v>
      </c>
      <c r="P2" s="277">
        <v>91</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c r="B13" s="286" t="s">
        <v>431</v>
      </c>
      <c r="C13" s="286"/>
      <c r="D13" s="286" t="s">
        <v>430</v>
      </c>
      <c r="E13" s="285" t="s">
        <v>301</v>
      </c>
      <c r="F13" s="285">
        <v>2</v>
      </c>
      <c r="G13" s="285">
        <v>0</v>
      </c>
      <c r="H13" s="285"/>
      <c r="I13" s="287" t="s">
        <v>432</v>
      </c>
      <c r="J13" s="285" t="s">
        <v>192</v>
      </c>
      <c r="K13" s="285" t="s">
        <v>190</v>
      </c>
      <c r="L13" s="288"/>
      <c r="M13" s="288" t="str">
        <f t="shared" ref="M13:M29" si="0">IF(AND(ISNUMBER(F13),ISNUMBER(L13)),F13*L13,"")</f>
        <v/>
      </c>
      <c r="N13" s="285" t="s">
        <v>342</v>
      </c>
      <c r="O13" s="289"/>
    </row>
    <row r="14" spans="1:17" hidden="1" x14ac:dyDescent="0.2">
      <c r="A14" s="285"/>
      <c r="B14" s="286"/>
      <c r="C14" s="286"/>
      <c r="D14" s="286"/>
      <c r="E14" s="285"/>
      <c r="F14" s="285"/>
      <c r="G14" s="285"/>
      <c r="H14" s="285"/>
      <c r="I14" s="287"/>
      <c r="J14" s="285"/>
      <c r="K14" s="285"/>
      <c r="L14" s="288"/>
      <c r="M14" s="288"/>
      <c r="N14" s="285"/>
      <c r="O14" s="289"/>
    </row>
    <row r="15" spans="1:17" hidden="1" x14ac:dyDescent="0.2">
      <c r="A15" s="285"/>
      <c r="B15" s="286"/>
      <c r="C15" s="286"/>
      <c r="D15" s="286"/>
      <c r="E15" s="285"/>
      <c r="F15" s="285"/>
      <c r="G15" s="285"/>
      <c r="H15" s="285"/>
      <c r="I15" s="287"/>
      <c r="J15" s="285"/>
      <c r="K15" s="285"/>
      <c r="L15" s="288"/>
      <c r="M15" s="288"/>
      <c r="N15" s="285"/>
      <c r="O15" s="289"/>
    </row>
    <row r="16" spans="1:17" hidden="1" x14ac:dyDescent="0.2">
      <c r="A16" s="285"/>
      <c r="B16" s="286"/>
      <c r="C16" s="286"/>
      <c r="D16" s="286"/>
      <c r="E16" s="285"/>
      <c r="F16" s="285"/>
      <c r="G16" s="285"/>
      <c r="H16" s="285"/>
      <c r="I16" s="287"/>
      <c r="J16" s="285"/>
      <c r="K16" s="285"/>
      <c r="L16" s="288"/>
      <c r="M16" s="288"/>
      <c r="N16" s="285"/>
      <c r="O16" s="289"/>
    </row>
    <row r="17" spans="1:15" hidden="1" x14ac:dyDescent="0.2">
      <c r="A17" s="285"/>
      <c r="B17" s="286"/>
      <c r="C17" s="286"/>
      <c r="D17" s="286"/>
      <c r="E17" s="285"/>
      <c r="F17" s="285"/>
      <c r="G17" s="285"/>
      <c r="H17" s="285"/>
      <c r="I17" s="287"/>
      <c r="J17" s="285"/>
      <c r="K17" s="285"/>
      <c r="L17" s="288"/>
      <c r="M17" s="288"/>
      <c r="N17" s="285"/>
      <c r="O17" s="289"/>
    </row>
    <row r="18" spans="1:15" hidden="1" x14ac:dyDescent="0.2">
      <c r="A18" s="285"/>
      <c r="B18" s="286"/>
      <c r="C18" s="286"/>
      <c r="D18" s="286"/>
      <c r="E18" s="285"/>
      <c r="F18" s="285"/>
      <c r="G18" s="285"/>
      <c r="H18" s="285"/>
      <c r="I18" s="287"/>
      <c r="J18" s="285"/>
      <c r="K18" s="285"/>
      <c r="L18" s="288"/>
      <c r="M18" s="288"/>
      <c r="N18" s="285"/>
      <c r="O18" s="289"/>
    </row>
    <row r="19" spans="1:15" hidden="1"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2">
    <mergeCell ref="A8:C8"/>
    <mergeCell ref="D8:O8"/>
    <mergeCell ref="A5:O5"/>
    <mergeCell ref="A6:C6"/>
    <mergeCell ref="D6:O6"/>
    <mergeCell ref="A7:C7"/>
    <mergeCell ref="D7:O7"/>
    <mergeCell ref="A35:C35"/>
    <mergeCell ref="D35:F35"/>
    <mergeCell ref="G35:K35"/>
    <mergeCell ref="L35:O35"/>
    <mergeCell ref="A9:C9"/>
    <mergeCell ref="D9:O9"/>
    <mergeCell ref="A11:O11"/>
    <mergeCell ref="A31:O31"/>
    <mergeCell ref="A32:C32"/>
    <mergeCell ref="D32:F32"/>
    <mergeCell ref="G32:K32"/>
    <mergeCell ref="L32:O32"/>
    <mergeCell ref="A33:C33"/>
    <mergeCell ref="D33:F33"/>
    <mergeCell ref="G33:K33"/>
    <mergeCell ref="L33:O33"/>
    <mergeCell ref="A34:C34"/>
    <mergeCell ref="D34:F34"/>
    <mergeCell ref="G34:K34"/>
    <mergeCell ref="L34:O34"/>
    <mergeCell ref="A40:D40"/>
    <mergeCell ref="E40:H40"/>
    <mergeCell ref="I40:K40"/>
    <mergeCell ref="L40:O40"/>
    <mergeCell ref="A36:C36"/>
    <mergeCell ref="D36:F36"/>
    <mergeCell ref="G36:K36"/>
    <mergeCell ref="L36:O36"/>
    <mergeCell ref="A39:O39"/>
    <mergeCell ref="A37:C37"/>
    <mergeCell ref="D37:F37"/>
    <mergeCell ref="G37:K37"/>
    <mergeCell ref="L37:O37"/>
    <mergeCell ref="L45:O45"/>
    <mergeCell ref="A47:O47"/>
    <mergeCell ref="A41:D41"/>
    <mergeCell ref="E41:H41"/>
    <mergeCell ref="I41:K41"/>
    <mergeCell ref="L41:O41"/>
    <mergeCell ref="A42:D42"/>
    <mergeCell ref="E42:H42"/>
    <mergeCell ref="I42:K42"/>
    <mergeCell ref="L42:O42"/>
    <mergeCell ref="A48:O51"/>
    <mergeCell ref="A43:D43"/>
    <mergeCell ref="E43:H43"/>
    <mergeCell ref="I43:K43"/>
    <mergeCell ref="L43:O43"/>
    <mergeCell ref="A44:D44"/>
    <mergeCell ref="E44:H44"/>
    <mergeCell ref="I44:K44"/>
    <mergeCell ref="L44:O44"/>
    <mergeCell ref="A45:D45"/>
    <mergeCell ref="E45:H45"/>
    <mergeCell ref="I45:K45"/>
  </mergeCells>
  <conditionalFormatting sqref="A13:O29">
    <cfRule type="expression" dxfId="31" priority="1">
      <formula>$J13="Khẩn"</formula>
    </cfRule>
    <cfRule type="expression" dxfId="30" priority="2">
      <formula>$J13="Bình thường"</formula>
    </cfRule>
    <cfRule type="expression" dxfId="29" priority="3">
      <formula>$J13="Dự phòng"</formula>
    </cfRule>
    <cfRule type="expression" dxfId="28" priority="4">
      <formula>AND($F13&gt;$G13,$F13&gt;0)</formula>
    </cfRule>
  </conditionalFormatting>
  <dataValidations count="2">
    <dataValidation type="list" allowBlank="1" showInputMessage="1" showErrorMessage="1" sqref="K13:K29" xr:uid="{3D4CCF11-7A3A-46F8-B275-42E6D87CF582}">
      <formula1>"CCDC,NPL,Tiêu hao"</formula1>
    </dataValidation>
    <dataValidation type="list" allowBlank="1" showInputMessage="1" showErrorMessage="1" sqref="J13:J29" xr:uid="{C3281404-3459-4F09-89CB-829AE0E289D0}">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C273DB1-E56E-49E4-8E2D-B999D8CADC9E}">
          <x14:formula1>
            <xm:f>DATA!$B:$B</xm:f>
          </x14:formula1>
          <xm:sqref>E13:E29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6200-5F67-409C-817B-9D20615E5DC2}">
  <dimension ref="A1:Q60"/>
  <sheetViews>
    <sheetView zoomScaleNormal="100" zoomScaleSheetLayoutView="100" workbookViewId="0">
      <selection activeCell="R24" sqref="R24"/>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92/PRD-MRF/0526</v>
      </c>
      <c r="P2" s="277">
        <v>92</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426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
      <c r="A13" s="285">
        <v>1</v>
      </c>
      <c r="B13" s="286" t="s">
        <v>378</v>
      </c>
      <c r="C13" s="286"/>
      <c r="D13" s="286" t="s">
        <v>437</v>
      </c>
      <c r="E13" s="285" t="s">
        <v>324</v>
      </c>
      <c r="F13" s="285">
        <v>26</v>
      </c>
      <c r="G13" s="285">
        <v>0</v>
      </c>
      <c r="H13" s="285"/>
      <c r="I13" s="319" t="s">
        <v>433</v>
      </c>
      <c r="J13" s="285" t="s">
        <v>189</v>
      </c>
      <c r="K13" s="285"/>
      <c r="L13" s="288"/>
      <c r="M13" s="288" t="str">
        <f t="shared" ref="M13:M37" si="0">IF(AND(ISNUMBER(F13),ISNUMBER(L13)),F13*L13,"")</f>
        <v/>
      </c>
      <c r="N13" s="285" t="s">
        <v>434</v>
      </c>
      <c r="O13" s="289"/>
    </row>
    <row r="14" spans="1:17" x14ac:dyDescent="0.2">
      <c r="A14" s="285">
        <v>2</v>
      </c>
      <c r="B14" s="286" t="s">
        <v>378</v>
      </c>
      <c r="C14" s="286"/>
      <c r="D14" s="286" t="s">
        <v>427</v>
      </c>
      <c r="E14" s="285" t="s">
        <v>301</v>
      </c>
      <c r="F14" s="285">
        <v>1</v>
      </c>
      <c r="G14" s="285">
        <v>0</v>
      </c>
      <c r="H14" s="285"/>
      <c r="I14" s="320"/>
      <c r="J14" s="285" t="s">
        <v>189</v>
      </c>
      <c r="K14" s="285"/>
      <c r="L14" s="288"/>
      <c r="M14" s="288"/>
      <c r="N14" s="309" t="s">
        <v>429</v>
      </c>
      <c r="O14" s="289"/>
    </row>
    <row r="15" spans="1:17" x14ac:dyDescent="0.2">
      <c r="A15" s="285">
        <v>3</v>
      </c>
      <c r="B15" s="286" t="s">
        <v>378</v>
      </c>
      <c r="C15" s="286"/>
      <c r="D15" s="286" t="s">
        <v>428</v>
      </c>
      <c r="E15" s="285" t="s">
        <v>301</v>
      </c>
      <c r="F15" s="285">
        <v>3</v>
      </c>
      <c r="G15" s="285">
        <v>0</v>
      </c>
      <c r="H15" s="285"/>
      <c r="I15" s="320"/>
      <c r="J15" s="285" t="s">
        <v>189</v>
      </c>
      <c r="K15" s="285"/>
      <c r="L15" s="288"/>
      <c r="M15" s="288"/>
      <c r="N15" s="311"/>
      <c r="O15" s="289"/>
    </row>
    <row r="16" spans="1:17" x14ac:dyDescent="0.2">
      <c r="A16" s="285">
        <v>4</v>
      </c>
      <c r="B16" s="286" t="s">
        <v>414</v>
      </c>
      <c r="C16" s="286"/>
      <c r="D16" s="286" t="s">
        <v>435</v>
      </c>
      <c r="E16" s="285" t="s">
        <v>301</v>
      </c>
      <c r="F16" s="285">
        <v>3</v>
      </c>
      <c r="G16" s="285">
        <v>0</v>
      </c>
      <c r="H16" s="285"/>
      <c r="I16" s="320"/>
      <c r="J16" s="285" t="s">
        <v>189</v>
      </c>
      <c r="K16" s="285"/>
      <c r="L16" s="288"/>
      <c r="M16" s="288"/>
      <c r="N16" s="285"/>
      <c r="O16" s="289"/>
    </row>
    <row r="17" spans="1:15" ht="16.899999999999999" customHeight="1" x14ac:dyDescent="0.2">
      <c r="A17" s="285">
        <v>5</v>
      </c>
      <c r="B17" s="286" t="s">
        <v>443</v>
      </c>
      <c r="C17" s="286"/>
      <c r="D17" s="286" t="s">
        <v>436</v>
      </c>
      <c r="E17" s="285" t="s">
        <v>301</v>
      </c>
      <c r="F17" s="285">
        <v>1</v>
      </c>
      <c r="G17" s="285">
        <v>0</v>
      </c>
      <c r="H17" s="285"/>
      <c r="I17" s="320"/>
      <c r="J17" s="285" t="s">
        <v>189</v>
      </c>
      <c r="K17" s="285"/>
      <c r="L17" s="288"/>
      <c r="M17" s="288"/>
      <c r="N17" s="423" t="s">
        <v>444</v>
      </c>
      <c r="O17" s="312" t="s">
        <v>445</v>
      </c>
    </row>
    <row r="18" spans="1:15" ht="16.899999999999999" customHeight="1" x14ac:dyDescent="0.2">
      <c r="A18" s="285">
        <v>6</v>
      </c>
      <c r="B18" s="286" t="s">
        <v>443</v>
      </c>
      <c r="C18" s="286"/>
      <c r="D18" s="286" t="s">
        <v>438</v>
      </c>
      <c r="E18" s="285" t="s">
        <v>301</v>
      </c>
      <c r="F18" s="285">
        <v>1</v>
      </c>
      <c r="G18" s="285">
        <v>0</v>
      </c>
      <c r="H18" s="285"/>
      <c r="I18" s="320"/>
      <c r="J18" s="285" t="s">
        <v>189</v>
      </c>
      <c r="K18" s="285"/>
      <c r="L18" s="288"/>
      <c r="M18" s="288"/>
      <c r="N18" s="424"/>
      <c r="O18" s="313"/>
    </row>
    <row r="19" spans="1:15" ht="16.899999999999999" customHeight="1" x14ac:dyDescent="0.2">
      <c r="A19" s="285">
        <v>7</v>
      </c>
      <c r="B19" s="286" t="s">
        <v>443</v>
      </c>
      <c r="C19" s="286"/>
      <c r="D19" s="286" t="s">
        <v>439</v>
      </c>
      <c r="E19" s="285" t="s">
        <v>301</v>
      </c>
      <c r="F19" s="285">
        <v>1</v>
      </c>
      <c r="G19" s="285">
        <v>0</v>
      </c>
      <c r="H19" s="285"/>
      <c r="I19" s="320"/>
      <c r="J19" s="285" t="s">
        <v>189</v>
      </c>
      <c r="K19" s="285"/>
      <c r="L19" s="288"/>
      <c r="M19" s="288"/>
      <c r="N19" s="424"/>
      <c r="O19" s="313"/>
    </row>
    <row r="20" spans="1:15" ht="16.899999999999999" customHeight="1" x14ac:dyDescent="0.2">
      <c r="A20" s="285">
        <v>8</v>
      </c>
      <c r="B20" s="286" t="s">
        <v>443</v>
      </c>
      <c r="C20" s="286"/>
      <c r="D20" s="286" t="s">
        <v>440</v>
      </c>
      <c r="E20" s="285" t="s">
        <v>301</v>
      </c>
      <c r="F20" s="285">
        <v>1</v>
      </c>
      <c r="G20" s="285">
        <v>0</v>
      </c>
      <c r="H20" s="285"/>
      <c r="I20" s="320"/>
      <c r="J20" s="285" t="s">
        <v>189</v>
      </c>
      <c r="K20" s="285"/>
      <c r="L20" s="288"/>
      <c r="M20" s="288"/>
      <c r="N20" s="424"/>
      <c r="O20" s="313"/>
    </row>
    <row r="21" spans="1:15" ht="16.899999999999999" customHeight="1" x14ac:dyDescent="0.2">
      <c r="A21" s="285">
        <v>9</v>
      </c>
      <c r="B21" s="286" t="s">
        <v>443</v>
      </c>
      <c r="C21" s="286"/>
      <c r="D21" s="286" t="s">
        <v>441</v>
      </c>
      <c r="E21" s="285" t="s">
        <v>301</v>
      </c>
      <c r="F21" s="285">
        <v>1</v>
      </c>
      <c r="G21" s="285">
        <v>0</v>
      </c>
      <c r="H21" s="285"/>
      <c r="I21" s="320"/>
      <c r="J21" s="285" t="s">
        <v>189</v>
      </c>
      <c r="K21" s="285"/>
      <c r="L21" s="288"/>
      <c r="M21" s="288"/>
      <c r="N21" s="424"/>
      <c r="O21" s="313"/>
    </row>
    <row r="22" spans="1:15" ht="16.899999999999999" customHeight="1" x14ac:dyDescent="0.2">
      <c r="A22" s="285">
        <v>10</v>
      </c>
      <c r="B22" s="286" t="s">
        <v>443</v>
      </c>
      <c r="C22" s="286"/>
      <c r="D22" s="286" t="s">
        <v>442</v>
      </c>
      <c r="E22" s="285" t="s">
        <v>301</v>
      </c>
      <c r="F22" s="285">
        <v>1</v>
      </c>
      <c r="G22" s="285">
        <v>0</v>
      </c>
      <c r="H22" s="285"/>
      <c r="I22" s="321"/>
      <c r="J22" s="285" t="s">
        <v>189</v>
      </c>
      <c r="K22" s="285"/>
      <c r="L22" s="288"/>
      <c r="M22" s="288"/>
      <c r="N22" s="425"/>
      <c r="O22" s="314"/>
    </row>
    <row r="23" spans="1:15" ht="16.899999999999999" customHeight="1" x14ac:dyDescent="0.2">
      <c r="A23" s="285"/>
      <c r="B23" s="286"/>
      <c r="C23" s="286"/>
      <c r="D23" s="286"/>
      <c r="E23" s="285"/>
      <c r="F23" s="285"/>
      <c r="G23" s="285"/>
      <c r="H23" s="285"/>
      <c r="I23" s="287"/>
      <c r="J23" s="285"/>
      <c r="K23" s="285"/>
      <c r="L23" s="288"/>
      <c r="M23" s="288"/>
      <c r="N23" s="285"/>
      <c r="O23" s="289"/>
    </row>
    <row r="24" spans="1:15" ht="16.899999999999999" customHeight="1" x14ac:dyDescent="0.2">
      <c r="A24" s="285"/>
      <c r="B24" s="286"/>
      <c r="C24" s="286"/>
      <c r="D24" s="286"/>
      <c r="E24" s="285"/>
      <c r="F24" s="285"/>
      <c r="G24" s="285"/>
      <c r="H24" s="285"/>
      <c r="I24" s="287"/>
      <c r="J24" s="285"/>
      <c r="K24" s="285"/>
      <c r="L24" s="288"/>
      <c r="M24" s="288"/>
      <c r="N24" s="285"/>
      <c r="O24" s="289"/>
    </row>
    <row r="25" spans="1:15" ht="16.899999999999999" customHeight="1" x14ac:dyDescent="0.2">
      <c r="A25" s="285"/>
      <c r="B25" s="286"/>
      <c r="C25" s="286"/>
      <c r="D25" s="286"/>
      <c r="E25" s="285"/>
      <c r="F25" s="285"/>
      <c r="G25" s="285"/>
      <c r="H25" s="285"/>
      <c r="I25" s="287"/>
      <c r="J25" s="285"/>
      <c r="K25" s="285"/>
      <c r="L25" s="288"/>
      <c r="M25" s="288"/>
      <c r="N25" s="285"/>
      <c r="O25" s="289"/>
    </row>
    <row r="26" spans="1:15" x14ac:dyDescent="0.2">
      <c r="A26" s="285"/>
      <c r="B26" s="286"/>
      <c r="C26" s="286"/>
      <c r="D26" s="286"/>
      <c r="E26" s="285"/>
      <c r="F26" s="285"/>
      <c r="G26" s="285"/>
      <c r="H26" s="285"/>
      <c r="I26" s="287"/>
      <c r="J26" s="285"/>
      <c r="K26" s="285"/>
      <c r="L26" s="288"/>
      <c r="M26" s="288"/>
      <c r="N26" s="285"/>
      <c r="O26" s="289"/>
    </row>
    <row r="27" spans="1:15" x14ac:dyDescent="0.2">
      <c r="A27" s="285"/>
      <c r="B27" s="286"/>
      <c r="C27" s="286"/>
      <c r="D27" s="286"/>
      <c r="E27" s="285"/>
      <c r="F27" s="285"/>
      <c r="G27" s="285"/>
      <c r="H27" s="285"/>
      <c r="I27" s="287"/>
      <c r="J27" s="285"/>
      <c r="K27" s="285"/>
      <c r="L27" s="288"/>
      <c r="M27" s="288"/>
      <c r="N27" s="285"/>
      <c r="O27" s="289"/>
    </row>
    <row r="28" spans="1:15" hidden="1" x14ac:dyDescent="0.2">
      <c r="A28" s="285">
        <v>11</v>
      </c>
      <c r="B28" s="286"/>
      <c r="C28" s="286"/>
      <c r="D28" s="286"/>
      <c r="E28" s="285"/>
      <c r="F28" s="285"/>
      <c r="G28" s="285"/>
      <c r="H28" s="285"/>
      <c r="I28" s="287"/>
      <c r="J28" s="285"/>
      <c r="K28" s="285"/>
      <c r="L28" s="288"/>
      <c r="M28" s="288" t="str">
        <f t="shared" si="0"/>
        <v/>
      </c>
      <c r="N28" s="285"/>
      <c r="O28" s="286"/>
    </row>
    <row r="29" spans="1:15" hidden="1" x14ac:dyDescent="0.2">
      <c r="A29" s="285">
        <v>12</v>
      </c>
      <c r="B29" s="286"/>
      <c r="C29" s="286"/>
      <c r="D29" s="286"/>
      <c r="E29" s="285"/>
      <c r="F29" s="285"/>
      <c r="G29" s="285"/>
      <c r="H29" s="285"/>
      <c r="I29" s="287"/>
      <c r="J29" s="285"/>
      <c r="K29" s="285"/>
      <c r="L29" s="288"/>
      <c r="M29" s="288" t="str">
        <f t="shared" si="0"/>
        <v/>
      </c>
      <c r="N29" s="285"/>
      <c r="O29" s="286"/>
    </row>
    <row r="30" spans="1:15" hidden="1" x14ac:dyDescent="0.2">
      <c r="A30" s="285">
        <v>13</v>
      </c>
      <c r="B30" s="286"/>
      <c r="C30" s="286"/>
      <c r="D30" s="286"/>
      <c r="E30" s="285"/>
      <c r="F30" s="285"/>
      <c r="G30" s="285"/>
      <c r="H30" s="285"/>
      <c r="I30" s="287"/>
      <c r="J30" s="285"/>
      <c r="K30" s="285"/>
      <c r="L30" s="288"/>
      <c r="M30" s="288" t="str">
        <f t="shared" si="0"/>
        <v/>
      </c>
      <c r="N30" s="285"/>
      <c r="O30" s="286"/>
    </row>
    <row r="31" spans="1:15" hidden="1" x14ac:dyDescent="0.2">
      <c r="A31" s="285">
        <v>14</v>
      </c>
      <c r="B31" s="286"/>
      <c r="C31" s="286"/>
      <c r="D31" s="286"/>
      <c r="E31" s="285"/>
      <c r="F31" s="285"/>
      <c r="G31" s="285"/>
      <c r="H31" s="285"/>
      <c r="I31" s="287"/>
      <c r="J31" s="285"/>
      <c r="K31" s="285"/>
      <c r="L31" s="288"/>
      <c r="M31" s="288" t="str">
        <f t="shared" si="0"/>
        <v/>
      </c>
      <c r="N31" s="285"/>
      <c r="O31" s="286"/>
    </row>
    <row r="32" spans="1:15" hidden="1" x14ac:dyDescent="0.2">
      <c r="A32" s="285">
        <v>15</v>
      </c>
      <c r="B32" s="286"/>
      <c r="C32" s="286"/>
      <c r="D32" s="286"/>
      <c r="E32" s="285"/>
      <c r="F32" s="285"/>
      <c r="G32" s="285"/>
      <c r="H32" s="285"/>
      <c r="I32" s="287"/>
      <c r="J32" s="285"/>
      <c r="K32" s="285"/>
      <c r="L32" s="288"/>
      <c r="M32" s="288" t="str">
        <f t="shared" si="0"/>
        <v/>
      </c>
      <c r="N32" s="285"/>
      <c r="O32" s="286"/>
    </row>
    <row r="33" spans="1:15" hidden="1" x14ac:dyDescent="0.2">
      <c r="A33" s="285">
        <v>16</v>
      </c>
      <c r="B33" s="286"/>
      <c r="C33" s="286"/>
      <c r="D33" s="286"/>
      <c r="E33" s="285"/>
      <c r="F33" s="285"/>
      <c r="G33" s="285"/>
      <c r="H33" s="285"/>
      <c r="I33" s="287"/>
      <c r="J33" s="285"/>
      <c r="K33" s="285"/>
      <c r="L33" s="288"/>
      <c r="M33" s="288" t="str">
        <f t="shared" si="0"/>
        <v/>
      </c>
      <c r="N33" s="285"/>
      <c r="O33" s="286"/>
    </row>
    <row r="34" spans="1:15" hidden="1" x14ac:dyDescent="0.2">
      <c r="A34" s="285">
        <v>17</v>
      </c>
      <c r="B34" s="286"/>
      <c r="C34" s="286"/>
      <c r="D34" s="286"/>
      <c r="E34" s="285"/>
      <c r="F34" s="285"/>
      <c r="G34" s="285"/>
      <c r="H34" s="285"/>
      <c r="I34" s="287"/>
      <c r="J34" s="285"/>
      <c r="K34" s="285"/>
      <c r="L34" s="288"/>
      <c r="M34" s="288" t="str">
        <f t="shared" si="0"/>
        <v/>
      </c>
      <c r="N34" s="285"/>
      <c r="O34" s="286"/>
    </row>
    <row r="35" spans="1:15" hidden="1" x14ac:dyDescent="0.2">
      <c r="A35" s="285">
        <v>18</v>
      </c>
      <c r="B35" s="286"/>
      <c r="C35" s="286"/>
      <c r="D35" s="286"/>
      <c r="E35" s="285"/>
      <c r="F35" s="285"/>
      <c r="G35" s="285"/>
      <c r="H35" s="285"/>
      <c r="I35" s="287"/>
      <c r="J35" s="285"/>
      <c r="K35" s="285"/>
      <c r="L35" s="288"/>
      <c r="M35" s="288" t="str">
        <f t="shared" si="0"/>
        <v/>
      </c>
      <c r="N35" s="285"/>
      <c r="O35" s="286"/>
    </row>
    <row r="36" spans="1:15" hidden="1" x14ac:dyDescent="0.2">
      <c r="A36" s="285">
        <v>19</v>
      </c>
      <c r="B36" s="286"/>
      <c r="C36" s="286"/>
      <c r="D36" s="286"/>
      <c r="E36" s="285"/>
      <c r="F36" s="285"/>
      <c r="G36" s="285"/>
      <c r="H36" s="285"/>
      <c r="I36" s="287"/>
      <c r="J36" s="285"/>
      <c r="K36" s="285"/>
      <c r="L36" s="288"/>
      <c r="M36" s="288" t="str">
        <f t="shared" si="0"/>
        <v/>
      </c>
      <c r="N36" s="285"/>
      <c r="O36" s="286"/>
    </row>
    <row r="37" spans="1:15" hidden="1" x14ac:dyDescent="0.2">
      <c r="A37" s="285">
        <v>20</v>
      </c>
      <c r="B37" s="286"/>
      <c r="C37" s="286"/>
      <c r="D37" s="286"/>
      <c r="E37" s="285"/>
      <c r="F37" s="285"/>
      <c r="G37" s="285"/>
      <c r="H37" s="285"/>
      <c r="I37" s="287"/>
      <c r="J37" s="285"/>
      <c r="K37" s="285"/>
      <c r="L37" s="288"/>
      <c r="M37" s="288" t="str">
        <f t="shared" si="0"/>
        <v/>
      </c>
      <c r="N37" s="285"/>
      <c r="O37" s="286"/>
    </row>
    <row r="38" spans="1:15" x14ac:dyDescent="0.2">
      <c r="A38" s="266"/>
      <c r="B38" s="266"/>
      <c r="C38" s="266"/>
      <c r="D38" s="266"/>
      <c r="E38" s="266"/>
      <c r="F38" s="266"/>
      <c r="G38" s="266"/>
      <c r="H38" s="266"/>
      <c r="I38" s="266"/>
      <c r="J38" s="266"/>
      <c r="K38" s="266"/>
      <c r="L38" s="266"/>
      <c r="M38" s="266"/>
      <c r="N38" s="268"/>
      <c r="O38" s="266"/>
    </row>
    <row r="39" spans="1:15" x14ac:dyDescent="0.2">
      <c r="A39" s="333" t="s">
        <v>196</v>
      </c>
      <c r="B39" s="334"/>
      <c r="C39" s="334"/>
      <c r="D39" s="334"/>
      <c r="E39" s="334"/>
      <c r="F39" s="334"/>
      <c r="G39" s="334"/>
      <c r="H39" s="334"/>
      <c r="I39" s="334"/>
      <c r="J39" s="334"/>
      <c r="K39" s="334"/>
      <c r="L39" s="334"/>
      <c r="M39" s="334"/>
      <c r="N39" s="334"/>
      <c r="O39" s="334"/>
    </row>
    <row r="40" spans="1:15" x14ac:dyDescent="0.2">
      <c r="A40" s="335" t="s">
        <v>197</v>
      </c>
      <c r="B40" s="334"/>
      <c r="C40" s="334"/>
      <c r="D40" s="335" t="s">
        <v>198</v>
      </c>
      <c r="E40" s="334"/>
      <c r="F40" s="334"/>
      <c r="G40" s="335" t="s">
        <v>199</v>
      </c>
      <c r="H40" s="335"/>
      <c r="I40" s="334"/>
      <c r="J40" s="334"/>
      <c r="K40" s="334"/>
      <c r="L40" s="335" t="s">
        <v>188</v>
      </c>
      <c r="M40" s="334"/>
      <c r="N40" s="334"/>
      <c r="O40" s="334"/>
    </row>
    <row r="41" spans="1:15" ht="27" customHeight="1" x14ac:dyDescent="0.2">
      <c r="A41" s="322" t="s">
        <v>200</v>
      </c>
      <c r="B41" s="323"/>
      <c r="C41" s="323"/>
      <c r="D41" s="327" t="s">
        <v>347</v>
      </c>
      <c r="E41" s="328"/>
      <c r="F41" s="328"/>
      <c r="G41" s="327"/>
      <c r="H41" s="327"/>
      <c r="I41" s="328"/>
      <c r="J41" s="328"/>
      <c r="K41" s="328"/>
      <c r="L41" s="329"/>
      <c r="M41" s="328"/>
      <c r="N41" s="328"/>
      <c r="O41" s="328"/>
    </row>
    <row r="42" spans="1:15" ht="27" customHeight="1" x14ac:dyDescent="0.2">
      <c r="A42" s="322" t="s">
        <v>201</v>
      </c>
      <c r="B42" s="323"/>
      <c r="C42" s="323"/>
      <c r="D42" s="327" t="s">
        <v>347</v>
      </c>
      <c r="E42" s="328"/>
      <c r="F42" s="328"/>
      <c r="G42" s="327"/>
      <c r="H42" s="327"/>
      <c r="I42" s="328"/>
      <c r="J42" s="328"/>
      <c r="K42" s="328"/>
      <c r="L42" s="329"/>
      <c r="M42" s="328"/>
      <c r="N42" s="328"/>
      <c r="O42" s="328"/>
    </row>
    <row r="43" spans="1:15" ht="27" customHeight="1" x14ac:dyDescent="0.2">
      <c r="A43" s="322" t="s">
        <v>202</v>
      </c>
      <c r="B43" s="323"/>
      <c r="C43" s="323"/>
      <c r="D43" s="327"/>
      <c r="E43" s="328"/>
      <c r="F43" s="328"/>
      <c r="G43" s="327"/>
      <c r="H43" s="327"/>
      <c r="I43" s="328"/>
      <c r="J43" s="328"/>
      <c r="K43" s="328"/>
      <c r="L43" s="329"/>
      <c r="M43" s="328"/>
      <c r="N43" s="328"/>
      <c r="O43" s="328"/>
    </row>
    <row r="44" spans="1:15" ht="27" customHeight="1" x14ac:dyDescent="0.2">
      <c r="A44" s="322" t="s">
        <v>203</v>
      </c>
      <c r="B44" s="323"/>
      <c r="C44" s="323"/>
      <c r="D44" s="327"/>
      <c r="E44" s="328"/>
      <c r="F44" s="328"/>
      <c r="G44" s="327"/>
      <c r="H44" s="327"/>
      <c r="I44" s="328"/>
      <c r="J44" s="328"/>
      <c r="K44" s="328"/>
      <c r="L44" s="329"/>
      <c r="M44" s="328"/>
      <c r="N44" s="328"/>
      <c r="O44" s="328"/>
    </row>
    <row r="45" spans="1:15" ht="27" customHeight="1" x14ac:dyDescent="0.2">
      <c r="A45" s="322" t="s">
        <v>204</v>
      </c>
      <c r="B45" s="323"/>
      <c r="C45" s="323"/>
      <c r="D45" s="327"/>
      <c r="E45" s="328"/>
      <c r="F45" s="328"/>
      <c r="G45" s="327"/>
      <c r="H45" s="327"/>
      <c r="I45" s="328"/>
      <c r="J45" s="328"/>
      <c r="K45" s="328"/>
      <c r="L45" s="329"/>
      <c r="M45" s="328"/>
      <c r="N45" s="328"/>
      <c r="O45" s="328"/>
    </row>
    <row r="46" spans="1:15" hidden="1" x14ac:dyDescent="0.2"/>
    <row r="47" spans="1:15" hidden="1" x14ac:dyDescent="0.2">
      <c r="A47" s="333" t="s">
        <v>205</v>
      </c>
      <c r="B47" s="334"/>
      <c r="C47" s="334"/>
      <c r="D47" s="334"/>
      <c r="E47" s="334"/>
      <c r="F47" s="334"/>
      <c r="G47" s="334"/>
      <c r="H47" s="334"/>
      <c r="I47" s="334"/>
      <c r="J47" s="334"/>
      <c r="K47" s="334"/>
      <c r="L47" s="334"/>
      <c r="M47" s="334"/>
      <c r="N47" s="334"/>
      <c r="O47" s="334"/>
    </row>
    <row r="48" spans="1:15" hidden="1" x14ac:dyDescent="0.2">
      <c r="A48" s="335" t="s">
        <v>206</v>
      </c>
      <c r="B48" s="334"/>
      <c r="C48" s="334"/>
      <c r="D48" s="334"/>
      <c r="E48" s="336" t="s">
        <v>207</v>
      </c>
      <c r="F48" s="337"/>
      <c r="G48" s="337"/>
      <c r="H48" s="338"/>
      <c r="I48" s="335" t="s">
        <v>208</v>
      </c>
      <c r="J48" s="334"/>
      <c r="K48" s="334"/>
      <c r="L48" s="335" t="s">
        <v>188</v>
      </c>
      <c r="M48" s="334"/>
      <c r="N48" s="334"/>
      <c r="O48" s="334"/>
    </row>
    <row r="49" spans="1:15" hidden="1" x14ac:dyDescent="0.2">
      <c r="A49" s="322" t="s">
        <v>209</v>
      </c>
      <c r="B49" s="323"/>
      <c r="C49" s="323"/>
      <c r="D49" s="323"/>
      <c r="E49" s="324"/>
      <c r="F49" s="325"/>
      <c r="G49" s="325"/>
      <c r="H49" s="326"/>
      <c r="I49" s="327"/>
      <c r="J49" s="328"/>
      <c r="K49" s="328"/>
      <c r="L49" s="329"/>
      <c r="M49" s="328"/>
      <c r="N49" s="328"/>
      <c r="O49" s="328"/>
    </row>
    <row r="50" spans="1:15" hidden="1" x14ac:dyDescent="0.2">
      <c r="A50" s="322" t="s">
        <v>210</v>
      </c>
      <c r="B50" s="323"/>
      <c r="C50" s="323"/>
      <c r="D50" s="323"/>
      <c r="E50" s="324"/>
      <c r="F50" s="325"/>
      <c r="G50" s="325"/>
      <c r="H50" s="326"/>
      <c r="I50" s="327"/>
      <c r="J50" s="328"/>
      <c r="K50" s="328"/>
      <c r="L50" s="329"/>
      <c r="M50" s="328"/>
      <c r="N50" s="328"/>
      <c r="O50" s="328"/>
    </row>
    <row r="51" spans="1:15" hidden="1" x14ac:dyDescent="0.2">
      <c r="A51" s="322" t="s">
        <v>211</v>
      </c>
      <c r="B51" s="323"/>
      <c r="C51" s="323"/>
      <c r="D51" s="323"/>
      <c r="E51" s="324"/>
      <c r="F51" s="325"/>
      <c r="G51" s="325"/>
      <c r="H51" s="326"/>
      <c r="I51" s="327"/>
      <c r="J51" s="328"/>
      <c r="K51" s="328"/>
      <c r="L51" s="329"/>
      <c r="M51" s="328"/>
      <c r="N51" s="328"/>
      <c r="O51" s="328"/>
    </row>
    <row r="52" spans="1:15" hidden="1" x14ac:dyDescent="0.2">
      <c r="A52" s="322" t="s">
        <v>212</v>
      </c>
      <c r="B52" s="323"/>
      <c r="C52" s="323"/>
      <c r="D52" s="323"/>
      <c r="E52" s="324"/>
      <c r="F52" s="325"/>
      <c r="G52" s="325"/>
      <c r="H52" s="326"/>
      <c r="I52" s="327"/>
      <c r="J52" s="328"/>
      <c r="K52" s="328"/>
      <c r="L52" s="329"/>
      <c r="M52" s="328"/>
      <c r="N52" s="328"/>
      <c r="O52" s="328"/>
    </row>
    <row r="53" spans="1:15" hidden="1" x14ac:dyDescent="0.2">
      <c r="A53" s="322" t="s">
        <v>213</v>
      </c>
      <c r="B53" s="323"/>
      <c r="C53" s="323"/>
      <c r="D53" s="323"/>
      <c r="E53" s="324"/>
      <c r="F53" s="325"/>
      <c r="G53" s="325"/>
      <c r="H53" s="326"/>
      <c r="I53" s="327"/>
      <c r="J53" s="328"/>
      <c r="K53" s="328"/>
      <c r="L53" s="329"/>
      <c r="M53" s="328"/>
      <c r="N53" s="328"/>
      <c r="O53" s="328"/>
    </row>
    <row r="54" spans="1:15" hidden="1" x14ac:dyDescent="0.2"/>
    <row r="55" spans="1:15" hidden="1" x14ac:dyDescent="0.2">
      <c r="A55" s="330" t="s">
        <v>214</v>
      </c>
      <c r="B55" s="331"/>
      <c r="C55" s="331"/>
      <c r="D55" s="331"/>
      <c r="E55" s="331"/>
      <c r="F55" s="331"/>
      <c r="G55" s="331"/>
      <c r="H55" s="331"/>
      <c r="I55" s="331"/>
      <c r="J55" s="331"/>
      <c r="K55" s="331"/>
      <c r="L55" s="331"/>
      <c r="M55" s="331"/>
      <c r="N55" s="331"/>
      <c r="O55" s="331"/>
    </row>
    <row r="56" spans="1:15" hidden="1" x14ac:dyDescent="0.2">
      <c r="A56" s="332" t="s">
        <v>215</v>
      </c>
      <c r="B56" s="328"/>
      <c r="C56" s="328"/>
      <c r="D56" s="328"/>
      <c r="E56" s="328"/>
      <c r="F56" s="328"/>
      <c r="G56" s="328"/>
      <c r="H56" s="328"/>
      <c r="I56" s="328"/>
      <c r="J56" s="328"/>
      <c r="K56" s="328"/>
      <c r="L56" s="328"/>
      <c r="M56" s="328"/>
      <c r="N56" s="328"/>
      <c r="O56" s="328"/>
    </row>
    <row r="57" spans="1:15" hidden="1" x14ac:dyDescent="0.2">
      <c r="A57" s="328"/>
      <c r="B57" s="328"/>
      <c r="C57" s="328"/>
      <c r="D57" s="328"/>
      <c r="E57" s="328"/>
      <c r="F57" s="328"/>
      <c r="G57" s="328"/>
      <c r="H57" s="328"/>
      <c r="I57" s="328"/>
      <c r="J57" s="328"/>
      <c r="K57" s="328"/>
      <c r="L57" s="328"/>
      <c r="M57" s="328"/>
      <c r="N57" s="328"/>
      <c r="O57" s="328"/>
    </row>
    <row r="58" spans="1:15" hidden="1" x14ac:dyDescent="0.2">
      <c r="A58" s="328"/>
      <c r="B58" s="328"/>
      <c r="C58" s="328"/>
      <c r="D58" s="328"/>
      <c r="E58" s="328"/>
      <c r="F58" s="328"/>
      <c r="G58" s="328"/>
      <c r="H58" s="328"/>
      <c r="I58" s="328"/>
      <c r="J58" s="328"/>
      <c r="K58" s="328"/>
      <c r="L58" s="328"/>
      <c r="M58" s="328"/>
      <c r="N58" s="328"/>
      <c r="O58" s="328"/>
    </row>
    <row r="59" spans="1:15" ht="6.4" hidden="1" customHeight="1" x14ac:dyDescent="0.2">
      <c r="A59" s="328"/>
      <c r="B59" s="328"/>
      <c r="C59" s="328"/>
      <c r="D59" s="328"/>
      <c r="E59" s="328"/>
      <c r="F59" s="328"/>
      <c r="G59" s="328"/>
      <c r="H59" s="328"/>
      <c r="I59" s="328"/>
      <c r="J59" s="328"/>
      <c r="K59" s="328"/>
      <c r="L59" s="328"/>
      <c r="M59" s="328"/>
      <c r="N59" s="328"/>
      <c r="O59" s="328"/>
    </row>
    <row r="60" spans="1:15" x14ac:dyDescent="0.2">
      <c r="J60" s="282" t="s">
        <v>216</v>
      </c>
      <c r="K60" s="182"/>
      <c r="L60" s="182"/>
      <c r="M60" s="182"/>
      <c r="N60" s="182"/>
      <c r="O60" s="182"/>
    </row>
  </sheetData>
  <mergeCells count="66">
    <mergeCell ref="A49:D49"/>
    <mergeCell ref="E49:H49"/>
    <mergeCell ref="I49:K49"/>
    <mergeCell ref="L49:O49"/>
    <mergeCell ref="A50:D50"/>
    <mergeCell ref="E50:H50"/>
    <mergeCell ref="I50:K50"/>
    <mergeCell ref="L50:O50"/>
    <mergeCell ref="A55:O55"/>
    <mergeCell ref="A56:O59"/>
    <mergeCell ref="A51:D51"/>
    <mergeCell ref="E51:H51"/>
    <mergeCell ref="I51:K51"/>
    <mergeCell ref="L51:O51"/>
    <mergeCell ref="A52:D52"/>
    <mergeCell ref="E52:H52"/>
    <mergeCell ref="I52:K52"/>
    <mergeCell ref="L52:O52"/>
    <mergeCell ref="A53:D53"/>
    <mergeCell ref="E53:H53"/>
    <mergeCell ref="I53:K53"/>
    <mergeCell ref="L53:O53"/>
    <mergeCell ref="G45:K45"/>
    <mergeCell ref="L45:O45"/>
    <mergeCell ref="A47:O47"/>
    <mergeCell ref="A48:D48"/>
    <mergeCell ref="E48:H48"/>
    <mergeCell ref="I48:K48"/>
    <mergeCell ref="L48:O48"/>
    <mergeCell ref="A45:C45"/>
    <mergeCell ref="D45:F45"/>
    <mergeCell ref="A43:C43"/>
    <mergeCell ref="D43:F43"/>
    <mergeCell ref="G43:K43"/>
    <mergeCell ref="L43:O43"/>
    <mergeCell ref="A44:C44"/>
    <mergeCell ref="D44:F44"/>
    <mergeCell ref="G44:K44"/>
    <mergeCell ref="L44:O44"/>
    <mergeCell ref="A41:C41"/>
    <mergeCell ref="D41:F41"/>
    <mergeCell ref="G41:K41"/>
    <mergeCell ref="L41:O41"/>
    <mergeCell ref="A42:C42"/>
    <mergeCell ref="D42:F42"/>
    <mergeCell ref="G42:K42"/>
    <mergeCell ref="L42:O42"/>
    <mergeCell ref="A39:O39"/>
    <mergeCell ref="A40:C40"/>
    <mergeCell ref="D40:F40"/>
    <mergeCell ref="G40:K40"/>
    <mergeCell ref="L40:O40"/>
    <mergeCell ref="A8:C8"/>
    <mergeCell ref="D8:O8"/>
    <mergeCell ref="O17:O22"/>
    <mergeCell ref="A5:O5"/>
    <mergeCell ref="A6:C6"/>
    <mergeCell ref="D6:O6"/>
    <mergeCell ref="A7:C7"/>
    <mergeCell ref="D7:O7"/>
    <mergeCell ref="A9:C9"/>
    <mergeCell ref="D9:O9"/>
    <mergeCell ref="A11:O11"/>
    <mergeCell ref="N14:N15"/>
    <mergeCell ref="I13:I22"/>
    <mergeCell ref="N17:N22"/>
  </mergeCells>
  <conditionalFormatting sqref="A13:O13 J14:O14 A14:H22 J15:M15 O15 J16:O16 O17 J17:M22 A23:O37">
    <cfRule type="expression" dxfId="27" priority="1">
      <formula>$J13="Khẩn"</formula>
    </cfRule>
    <cfRule type="expression" dxfId="26" priority="2">
      <formula>$J13="Bình thường"</formula>
    </cfRule>
    <cfRule type="expression" dxfId="25" priority="3">
      <formula>$J13="Dự phòng"</formula>
    </cfRule>
    <cfRule type="expression" dxfId="24" priority="4">
      <formula>AND($F13&gt;$G13,$F13&gt;0)</formula>
    </cfRule>
  </conditionalFormatting>
  <dataValidations count="2">
    <dataValidation type="list" allowBlank="1" showInputMessage="1" showErrorMessage="1" sqref="K13:K37" xr:uid="{4C7B7930-9276-41B1-B9FE-CF61518DEA91}">
      <formula1>"CCDC,NPL,Tiêu hao"</formula1>
    </dataValidation>
    <dataValidation type="list" allowBlank="1" showInputMessage="1" showErrorMessage="1" sqref="J13:J37" xr:uid="{99B44048-54E3-438A-A095-BAE0681AF1CB}">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6B6B0B8-C612-4FF7-AD8C-0CD7A1900C1E}">
          <x14:formula1>
            <xm:f>DATA!$B:$B</xm:f>
          </x14:formula1>
          <xm:sqref>E13:E37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862E-E48B-42E7-84E2-F582FB408187}">
  <dimension ref="A1:Q59"/>
  <sheetViews>
    <sheetView zoomScaleNormal="100" zoomScaleSheetLayoutView="100" workbookViewId="0">
      <selection activeCell="S12" sqref="S12"/>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93/PRD-MRF/0526</v>
      </c>
      <c r="P2" s="277">
        <v>93</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v>1</v>
      </c>
      <c r="B13" s="286" t="s">
        <v>378</v>
      </c>
      <c r="C13" s="286"/>
      <c r="D13" s="286" t="s">
        <v>446</v>
      </c>
      <c r="E13" s="285" t="s">
        <v>301</v>
      </c>
      <c r="F13" s="285">
        <v>1</v>
      </c>
      <c r="G13" s="285">
        <v>0</v>
      </c>
      <c r="H13" s="285"/>
      <c r="I13" s="319" t="s">
        <v>459</v>
      </c>
      <c r="J13" s="285" t="s">
        <v>189</v>
      </c>
      <c r="K13" s="285" t="s">
        <v>190</v>
      </c>
      <c r="L13" s="288"/>
      <c r="M13" s="288" t="str">
        <f t="shared" ref="M13:M36" si="0">IF(AND(ISNUMBER(F13),ISNUMBER(L13)),F13*L13,"")</f>
        <v/>
      </c>
      <c r="N13" s="309" t="s">
        <v>460</v>
      </c>
      <c r="O13" s="312" t="s">
        <v>461</v>
      </c>
    </row>
    <row r="14" spans="1:17" x14ac:dyDescent="0.2">
      <c r="A14" s="285">
        <v>2</v>
      </c>
      <c r="B14" s="286" t="s">
        <v>378</v>
      </c>
      <c r="C14" s="286"/>
      <c r="D14" s="286" t="s">
        <v>447</v>
      </c>
      <c r="E14" s="285" t="s">
        <v>301</v>
      </c>
      <c r="F14" s="285">
        <v>1</v>
      </c>
      <c r="G14" s="285">
        <v>0</v>
      </c>
      <c r="H14" s="285"/>
      <c r="I14" s="320"/>
      <c r="J14" s="285" t="s">
        <v>189</v>
      </c>
      <c r="K14" s="285" t="s">
        <v>190</v>
      </c>
      <c r="L14" s="288"/>
      <c r="M14" s="288"/>
      <c r="N14" s="310"/>
      <c r="O14" s="313"/>
    </row>
    <row r="15" spans="1:17" x14ac:dyDescent="0.2">
      <c r="A15" s="285">
        <v>3</v>
      </c>
      <c r="B15" s="286" t="s">
        <v>378</v>
      </c>
      <c r="C15" s="286"/>
      <c r="D15" s="286" t="s">
        <v>448</v>
      </c>
      <c r="E15" s="285" t="s">
        <v>301</v>
      </c>
      <c r="F15" s="285">
        <v>7</v>
      </c>
      <c r="G15" s="285">
        <v>0</v>
      </c>
      <c r="H15" s="285"/>
      <c r="I15" s="320"/>
      <c r="J15" s="285" t="s">
        <v>189</v>
      </c>
      <c r="K15" s="285" t="s">
        <v>190</v>
      </c>
      <c r="L15" s="288"/>
      <c r="M15" s="288"/>
      <c r="N15" s="310"/>
      <c r="O15" s="313"/>
    </row>
    <row r="16" spans="1:17" x14ac:dyDescent="0.2">
      <c r="A16" s="285">
        <v>4</v>
      </c>
      <c r="B16" s="286" t="s">
        <v>378</v>
      </c>
      <c r="C16" s="286"/>
      <c r="D16" s="286" t="s">
        <v>449</v>
      </c>
      <c r="E16" s="285" t="s">
        <v>301</v>
      </c>
      <c r="F16" s="285">
        <v>7</v>
      </c>
      <c r="G16" s="285">
        <v>0</v>
      </c>
      <c r="H16" s="285"/>
      <c r="I16" s="320"/>
      <c r="J16" s="285" t="s">
        <v>189</v>
      </c>
      <c r="K16" s="285" t="s">
        <v>190</v>
      </c>
      <c r="L16" s="288"/>
      <c r="M16" s="288"/>
      <c r="N16" s="310"/>
      <c r="O16" s="313"/>
    </row>
    <row r="17" spans="1:15" x14ac:dyDescent="0.2">
      <c r="A17" s="285">
        <v>5</v>
      </c>
      <c r="B17" s="286" t="s">
        <v>378</v>
      </c>
      <c r="C17" s="286"/>
      <c r="D17" s="286" t="s">
        <v>450</v>
      </c>
      <c r="E17" s="285" t="s">
        <v>324</v>
      </c>
      <c r="F17" s="285">
        <v>30</v>
      </c>
      <c r="G17" s="285">
        <v>0</v>
      </c>
      <c r="H17" s="285"/>
      <c r="I17" s="320"/>
      <c r="J17" s="285" t="s">
        <v>189</v>
      </c>
      <c r="K17" s="285" t="s">
        <v>190</v>
      </c>
      <c r="L17" s="288"/>
      <c r="M17" s="288"/>
      <c r="N17" s="310"/>
      <c r="O17" s="313"/>
    </row>
    <row r="18" spans="1:15" x14ac:dyDescent="0.2">
      <c r="A18" s="285">
        <v>6</v>
      </c>
      <c r="B18" s="286" t="s">
        <v>378</v>
      </c>
      <c r="C18" s="286"/>
      <c r="D18" s="286" t="s">
        <v>451</v>
      </c>
      <c r="E18" s="285" t="s">
        <v>301</v>
      </c>
      <c r="F18" s="285">
        <v>2</v>
      </c>
      <c r="G18" s="285">
        <v>0</v>
      </c>
      <c r="H18" s="285"/>
      <c r="I18" s="320"/>
      <c r="J18" s="285" t="s">
        <v>189</v>
      </c>
      <c r="K18" s="285" t="s">
        <v>190</v>
      </c>
      <c r="L18" s="288"/>
      <c r="M18" s="288"/>
      <c r="N18" s="310"/>
      <c r="O18" s="313"/>
    </row>
    <row r="19" spans="1:15" x14ac:dyDescent="0.2">
      <c r="A19" s="285">
        <v>7</v>
      </c>
      <c r="B19" s="286" t="s">
        <v>378</v>
      </c>
      <c r="C19" s="286"/>
      <c r="D19" s="286" t="s">
        <v>452</v>
      </c>
      <c r="E19" s="285" t="s">
        <v>301</v>
      </c>
      <c r="F19" s="285">
        <v>2</v>
      </c>
      <c r="G19" s="285">
        <v>0</v>
      </c>
      <c r="H19" s="285"/>
      <c r="I19" s="320"/>
      <c r="J19" s="285" t="s">
        <v>189</v>
      </c>
      <c r="K19" s="285" t="s">
        <v>190</v>
      </c>
      <c r="L19" s="288"/>
      <c r="M19" s="288"/>
      <c r="N19" s="310"/>
      <c r="O19" s="313"/>
    </row>
    <row r="20" spans="1:15" x14ac:dyDescent="0.2">
      <c r="A20" s="285">
        <v>8</v>
      </c>
      <c r="B20" s="286" t="s">
        <v>378</v>
      </c>
      <c r="C20" s="286"/>
      <c r="D20" s="286" t="s">
        <v>453</v>
      </c>
      <c r="E20" s="285" t="s">
        <v>301</v>
      </c>
      <c r="F20" s="285">
        <v>1</v>
      </c>
      <c r="G20" s="285">
        <v>0</v>
      </c>
      <c r="H20" s="285"/>
      <c r="I20" s="320"/>
      <c r="J20" s="285" t="s">
        <v>189</v>
      </c>
      <c r="K20" s="285" t="s">
        <v>190</v>
      </c>
      <c r="L20" s="288"/>
      <c r="M20" s="288"/>
      <c r="N20" s="310"/>
      <c r="O20" s="313"/>
    </row>
    <row r="21" spans="1:15" x14ac:dyDescent="0.2">
      <c r="A21" s="285">
        <v>9</v>
      </c>
      <c r="B21" s="286" t="s">
        <v>378</v>
      </c>
      <c r="C21" s="286"/>
      <c r="D21" s="286" t="s">
        <v>454</v>
      </c>
      <c r="E21" s="285" t="s">
        <v>301</v>
      </c>
      <c r="F21" s="285">
        <v>5</v>
      </c>
      <c r="G21" s="285">
        <v>0</v>
      </c>
      <c r="H21" s="285"/>
      <c r="I21" s="320"/>
      <c r="J21" s="285" t="s">
        <v>189</v>
      </c>
      <c r="K21" s="285" t="s">
        <v>190</v>
      </c>
      <c r="L21" s="288"/>
      <c r="M21" s="288"/>
      <c r="N21" s="310"/>
      <c r="O21" s="313"/>
    </row>
    <row r="22" spans="1:15" x14ac:dyDescent="0.2">
      <c r="A22" s="285">
        <v>10</v>
      </c>
      <c r="B22" s="286" t="s">
        <v>378</v>
      </c>
      <c r="C22" s="286"/>
      <c r="D22" s="286" t="s">
        <v>455</v>
      </c>
      <c r="E22" s="285" t="s">
        <v>301</v>
      </c>
      <c r="F22" s="285">
        <v>5</v>
      </c>
      <c r="G22" s="285">
        <v>0</v>
      </c>
      <c r="H22" s="285"/>
      <c r="I22" s="320"/>
      <c r="J22" s="285" t="s">
        <v>189</v>
      </c>
      <c r="K22" s="285" t="s">
        <v>190</v>
      </c>
      <c r="L22" s="288"/>
      <c r="M22" s="288"/>
      <c r="N22" s="310"/>
      <c r="O22" s="313"/>
    </row>
    <row r="23" spans="1:15" x14ac:dyDescent="0.2">
      <c r="A23" s="285">
        <v>11</v>
      </c>
      <c r="B23" s="286" t="s">
        <v>457</v>
      </c>
      <c r="C23" s="286"/>
      <c r="D23" s="286" t="s">
        <v>456</v>
      </c>
      <c r="E23" s="285" t="s">
        <v>301</v>
      </c>
      <c r="F23" s="285">
        <v>2</v>
      </c>
      <c r="G23" s="285">
        <v>0</v>
      </c>
      <c r="H23" s="285"/>
      <c r="I23" s="320"/>
      <c r="J23" s="285" t="s">
        <v>189</v>
      </c>
      <c r="K23" s="285" t="s">
        <v>190</v>
      </c>
      <c r="L23" s="288"/>
      <c r="M23" s="288"/>
      <c r="N23" s="310"/>
      <c r="O23" s="313"/>
    </row>
    <row r="24" spans="1:15" x14ac:dyDescent="0.2">
      <c r="A24" s="285">
        <v>12</v>
      </c>
      <c r="B24" s="286" t="s">
        <v>457</v>
      </c>
      <c r="C24" s="286"/>
      <c r="D24" s="286" t="s">
        <v>458</v>
      </c>
      <c r="E24" s="285" t="s">
        <v>301</v>
      </c>
      <c r="F24" s="285">
        <v>1</v>
      </c>
      <c r="G24" s="285">
        <v>0</v>
      </c>
      <c r="H24" s="285"/>
      <c r="I24" s="321"/>
      <c r="J24" s="285" t="s">
        <v>189</v>
      </c>
      <c r="K24" s="285" t="s">
        <v>190</v>
      </c>
      <c r="L24" s="288"/>
      <c r="M24" s="288"/>
      <c r="N24" s="311"/>
      <c r="O24" s="314"/>
    </row>
    <row r="25" spans="1:15" x14ac:dyDescent="0.2">
      <c r="A25" s="285"/>
      <c r="B25" s="286"/>
      <c r="C25" s="286"/>
      <c r="D25" s="286"/>
      <c r="E25" s="285"/>
      <c r="F25" s="285"/>
      <c r="G25" s="285"/>
      <c r="H25" s="285"/>
      <c r="I25" s="287"/>
      <c r="J25" s="285"/>
      <c r="K25" s="285"/>
      <c r="L25" s="288"/>
      <c r="M25" s="288"/>
      <c r="N25" s="285"/>
      <c r="O25" s="289"/>
    </row>
    <row r="26" spans="1:15" x14ac:dyDescent="0.2">
      <c r="A26" s="285"/>
      <c r="B26" s="286"/>
      <c r="C26" s="286"/>
      <c r="D26" s="286"/>
      <c r="E26" s="285"/>
      <c r="F26" s="285"/>
      <c r="G26" s="285"/>
      <c r="H26" s="285"/>
      <c r="I26" s="287"/>
      <c r="J26" s="285"/>
      <c r="K26" s="285"/>
      <c r="L26" s="288"/>
      <c r="M26" s="288"/>
      <c r="N26" s="285"/>
      <c r="O26" s="289"/>
    </row>
    <row r="27" spans="1:15" hidden="1" x14ac:dyDescent="0.2">
      <c r="A27" s="285">
        <v>11</v>
      </c>
      <c r="B27" s="286"/>
      <c r="C27" s="286"/>
      <c r="D27" s="286"/>
      <c r="E27" s="285"/>
      <c r="F27" s="285"/>
      <c r="G27" s="285"/>
      <c r="H27" s="285"/>
      <c r="I27" s="287"/>
      <c r="J27" s="285"/>
      <c r="K27" s="285"/>
      <c r="L27" s="288"/>
      <c r="M27" s="288" t="str">
        <f t="shared" si="0"/>
        <v/>
      </c>
      <c r="N27" s="285"/>
      <c r="O27" s="286"/>
    </row>
    <row r="28" spans="1:15" hidden="1" x14ac:dyDescent="0.2">
      <c r="A28" s="285">
        <v>12</v>
      </c>
      <c r="B28" s="286"/>
      <c r="C28" s="286"/>
      <c r="D28" s="286"/>
      <c r="E28" s="285"/>
      <c r="F28" s="285"/>
      <c r="G28" s="285"/>
      <c r="H28" s="285"/>
      <c r="I28" s="287"/>
      <c r="J28" s="285"/>
      <c r="K28" s="285"/>
      <c r="L28" s="288"/>
      <c r="M28" s="288" t="str">
        <f t="shared" si="0"/>
        <v/>
      </c>
      <c r="N28" s="285"/>
      <c r="O28" s="286"/>
    </row>
    <row r="29" spans="1:15" hidden="1" x14ac:dyDescent="0.2">
      <c r="A29" s="285">
        <v>13</v>
      </c>
      <c r="B29" s="286"/>
      <c r="C29" s="286"/>
      <c r="D29" s="286"/>
      <c r="E29" s="285"/>
      <c r="F29" s="285"/>
      <c r="G29" s="285"/>
      <c r="H29" s="285"/>
      <c r="I29" s="287"/>
      <c r="J29" s="285"/>
      <c r="K29" s="285"/>
      <c r="L29" s="288"/>
      <c r="M29" s="288" t="str">
        <f t="shared" si="0"/>
        <v/>
      </c>
      <c r="N29" s="285"/>
      <c r="O29" s="286"/>
    </row>
    <row r="30" spans="1:15" hidden="1" x14ac:dyDescent="0.2">
      <c r="A30" s="285">
        <v>14</v>
      </c>
      <c r="B30" s="286"/>
      <c r="C30" s="286"/>
      <c r="D30" s="286"/>
      <c r="E30" s="285"/>
      <c r="F30" s="285"/>
      <c r="G30" s="285"/>
      <c r="H30" s="285"/>
      <c r="I30" s="287"/>
      <c r="J30" s="285"/>
      <c r="K30" s="285"/>
      <c r="L30" s="288"/>
      <c r="M30" s="288" t="str">
        <f t="shared" si="0"/>
        <v/>
      </c>
      <c r="N30" s="285"/>
      <c r="O30" s="286"/>
    </row>
    <row r="31" spans="1:15" hidden="1" x14ac:dyDescent="0.2">
      <c r="A31" s="285">
        <v>15</v>
      </c>
      <c r="B31" s="286"/>
      <c r="C31" s="286"/>
      <c r="D31" s="286"/>
      <c r="E31" s="285"/>
      <c r="F31" s="285"/>
      <c r="G31" s="285"/>
      <c r="H31" s="285"/>
      <c r="I31" s="287"/>
      <c r="J31" s="285"/>
      <c r="K31" s="285"/>
      <c r="L31" s="288"/>
      <c r="M31" s="288" t="str">
        <f t="shared" si="0"/>
        <v/>
      </c>
      <c r="N31" s="285"/>
      <c r="O31" s="286"/>
    </row>
    <row r="32" spans="1:15" hidden="1" x14ac:dyDescent="0.2">
      <c r="A32" s="285">
        <v>16</v>
      </c>
      <c r="B32" s="286"/>
      <c r="C32" s="286"/>
      <c r="D32" s="286"/>
      <c r="E32" s="285"/>
      <c r="F32" s="285"/>
      <c r="G32" s="285"/>
      <c r="H32" s="285"/>
      <c r="I32" s="287"/>
      <c r="J32" s="285"/>
      <c r="K32" s="285"/>
      <c r="L32" s="288"/>
      <c r="M32" s="288" t="str">
        <f t="shared" si="0"/>
        <v/>
      </c>
      <c r="N32" s="285"/>
      <c r="O32" s="286"/>
    </row>
    <row r="33" spans="1:15" hidden="1" x14ac:dyDescent="0.2">
      <c r="A33" s="285">
        <v>17</v>
      </c>
      <c r="B33" s="286"/>
      <c r="C33" s="286"/>
      <c r="D33" s="286"/>
      <c r="E33" s="285"/>
      <c r="F33" s="285"/>
      <c r="G33" s="285"/>
      <c r="H33" s="285"/>
      <c r="I33" s="287"/>
      <c r="J33" s="285"/>
      <c r="K33" s="285"/>
      <c r="L33" s="288"/>
      <c r="M33" s="288" t="str">
        <f t="shared" si="0"/>
        <v/>
      </c>
      <c r="N33" s="285"/>
      <c r="O33" s="286"/>
    </row>
    <row r="34" spans="1:15" hidden="1" x14ac:dyDescent="0.2">
      <c r="A34" s="285">
        <v>18</v>
      </c>
      <c r="B34" s="286"/>
      <c r="C34" s="286"/>
      <c r="D34" s="286"/>
      <c r="E34" s="285"/>
      <c r="F34" s="285"/>
      <c r="G34" s="285"/>
      <c r="H34" s="285"/>
      <c r="I34" s="287"/>
      <c r="J34" s="285"/>
      <c r="K34" s="285"/>
      <c r="L34" s="288"/>
      <c r="M34" s="288" t="str">
        <f t="shared" si="0"/>
        <v/>
      </c>
      <c r="N34" s="285"/>
      <c r="O34" s="286"/>
    </row>
    <row r="35" spans="1:15" hidden="1" x14ac:dyDescent="0.2">
      <c r="A35" s="285">
        <v>19</v>
      </c>
      <c r="B35" s="286"/>
      <c r="C35" s="286"/>
      <c r="D35" s="286"/>
      <c r="E35" s="285"/>
      <c r="F35" s="285"/>
      <c r="G35" s="285"/>
      <c r="H35" s="285"/>
      <c r="I35" s="287"/>
      <c r="J35" s="285"/>
      <c r="K35" s="285"/>
      <c r="L35" s="288"/>
      <c r="M35" s="288" t="str">
        <f t="shared" si="0"/>
        <v/>
      </c>
      <c r="N35" s="285"/>
      <c r="O35" s="286"/>
    </row>
    <row r="36" spans="1:15" hidden="1" x14ac:dyDescent="0.2">
      <c r="A36" s="285">
        <v>20</v>
      </c>
      <c r="B36" s="286"/>
      <c r="C36" s="286"/>
      <c r="D36" s="286"/>
      <c r="E36" s="285"/>
      <c r="F36" s="285"/>
      <c r="G36" s="285"/>
      <c r="H36" s="285"/>
      <c r="I36" s="287"/>
      <c r="J36" s="285"/>
      <c r="K36" s="285"/>
      <c r="L36" s="288"/>
      <c r="M36" s="288" t="str">
        <f t="shared" si="0"/>
        <v/>
      </c>
      <c r="N36" s="285"/>
      <c r="O36" s="286"/>
    </row>
    <row r="37" spans="1:15" x14ac:dyDescent="0.2">
      <c r="A37" s="266"/>
      <c r="B37" s="266"/>
      <c r="C37" s="266"/>
      <c r="D37" s="266"/>
      <c r="E37" s="266"/>
      <c r="F37" s="266"/>
      <c r="G37" s="266"/>
      <c r="H37" s="266"/>
      <c r="I37" s="266"/>
      <c r="J37" s="266"/>
      <c r="K37" s="266"/>
      <c r="L37" s="266"/>
      <c r="M37" s="266"/>
      <c r="N37" s="268"/>
      <c r="O37" s="266"/>
    </row>
    <row r="38" spans="1:15" x14ac:dyDescent="0.2">
      <c r="A38" s="333" t="s">
        <v>196</v>
      </c>
      <c r="B38" s="334"/>
      <c r="C38" s="334"/>
      <c r="D38" s="334"/>
      <c r="E38" s="334"/>
      <c r="F38" s="334"/>
      <c r="G38" s="334"/>
      <c r="H38" s="334"/>
      <c r="I38" s="334"/>
      <c r="J38" s="334"/>
      <c r="K38" s="334"/>
      <c r="L38" s="334"/>
      <c r="M38" s="334"/>
      <c r="N38" s="334"/>
      <c r="O38" s="334"/>
    </row>
    <row r="39" spans="1:15" x14ac:dyDescent="0.2">
      <c r="A39" s="335" t="s">
        <v>197</v>
      </c>
      <c r="B39" s="334"/>
      <c r="C39" s="334"/>
      <c r="D39" s="335" t="s">
        <v>198</v>
      </c>
      <c r="E39" s="334"/>
      <c r="F39" s="334"/>
      <c r="G39" s="335" t="s">
        <v>199</v>
      </c>
      <c r="H39" s="335"/>
      <c r="I39" s="334"/>
      <c r="J39" s="334"/>
      <c r="K39" s="334"/>
      <c r="L39" s="335" t="s">
        <v>188</v>
      </c>
      <c r="M39" s="334"/>
      <c r="N39" s="334"/>
      <c r="O39" s="334"/>
    </row>
    <row r="40" spans="1:15" ht="27" customHeight="1" x14ac:dyDescent="0.2">
      <c r="A40" s="322" t="s">
        <v>200</v>
      </c>
      <c r="B40" s="323"/>
      <c r="C40" s="323"/>
      <c r="D40" s="327" t="s">
        <v>347</v>
      </c>
      <c r="E40" s="328"/>
      <c r="F40" s="328"/>
      <c r="G40" s="327"/>
      <c r="H40" s="327"/>
      <c r="I40" s="328"/>
      <c r="J40" s="328"/>
      <c r="K40" s="328"/>
      <c r="L40" s="329"/>
      <c r="M40" s="328"/>
      <c r="N40" s="328"/>
      <c r="O40" s="328"/>
    </row>
    <row r="41" spans="1:15" ht="27" customHeight="1" x14ac:dyDescent="0.2">
      <c r="A41" s="322" t="s">
        <v>201</v>
      </c>
      <c r="B41" s="323"/>
      <c r="C41" s="323"/>
      <c r="D41" s="327" t="s">
        <v>347</v>
      </c>
      <c r="E41" s="328"/>
      <c r="F41" s="328"/>
      <c r="G41" s="327"/>
      <c r="H41" s="327"/>
      <c r="I41" s="328"/>
      <c r="J41" s="328"/>
      <c r="K41" s="328"/>
      <c r="L41" s="329"/>
      <c r="M41" s="328"/>
      <c r="N41" s="328"/>
      <c r="O41" s="328"/>
    </row>
    <row r="42" spans="1:15" ht="27" customHeight="1" x14ac:dyDescent="0.2">
      <c r="A42" s="322" t="s">
        <v>202</v>
      </c>
      <c r="B42" s="323"/>
      <c r="C42" s="323"/>
      <c r="D42" s="327"/>
      <c r="E42" s="328"/>
      <c r="F42" s="328"/>
      <c r="G42" s="327"/>
      <c r="H42" s="327"/>
      <c r="I42" s="328"/>
      <c r="J42" s="328"/>
      <c r="K42" s="328"/>
      <c r="L42" s="329"/>
      <c r="M42" s="328"/>
      <c r="N42" s="328"/>
      <c r="O42" s="328"/>
    </row>
    <row r="43" spans="1:15" ht="27" customHeight="1" x14ac:dyDescent="0.2">
      <c r="A43" s="322" t="s">
        <v>203</v>
      </c>
      <c r="B43" s="323"/>
      <c r="C43" s="323"/>
      <c r="D43" s="327"/>
      <c r="E43" s="328"/>
      <c r="F43" s="328"/>
      <c r="G43" s="327"/>
      <c r="H43" s="327"/>
      <c r="I43" s="328"/>
      <c r="J43" s="328"/>
      <c r="K43" s="328"/>
      <c r="L43" s="329"/>
      <c r="M43" s="328"/>
      <c r="N43" s="328"/>
      <c r="O43" s="328"/>
    </row>
    <row r="44" spans="1:15" ht="27" customHeight="1" x14ac:dyDescent="0.2">
      <c r="A44" s="322" t="s">
        <v>204</v>
      </c>
      <c r="B44" s="323"/>
      <c r="C44" s="323"/>
      <c r="D44" s="327"/>
      <c r="E44" s="328"/>
      <c r="F44" s="328"/>
      <c r="G44" s="327"/>
      <c r="H44" s="327"/>
      <c r="I44" s="328"/>
      <c r="J44" s="328"/>
      <c r="K44" s="328"/>
      <c r="L44" s="329"/>
      <c r="M44" s="328"/>
      <c r="N44" s="328"/>
      <c r="O44" s="328"/>
    </row>
    <row r="45" spans="1:15" hidden="1" x14ac:dyDescent="0.2"/>
    <row r="46" spans="1:15" hidden="1" x14ac:dyDescent="0.2">
      <c r="A46" s="333" t="s">
        <v>205</v>
      </c>
      <c r="B46" s="334"/>
      <c r="C46" s="334"/>
      <c r="D46" s="334"/>
      <c r="E46" s="334"/>
      <c r="F46" s="334"/>
      <c r="G46" s="334"/>
      <c r="H46" s="334"/>
      <c r="I46" s="334"/>
      <c r="J46" s="334"/>
      <c r="K46" s="334"/>
      <c r="L46" s="334"/>
      <c r="M46" s="334"/>
      <c r="N46" s="334"/>
      <c r="O46" s="334"/>
    </row>
    <row r="47" spans="1:15" hidden="1" x14ac:dyDescent="0.2">
      <c r="A47" s="335" t="s">
        <v>206</v>
      </c>
      <c r="B47" s="334"/>
      <c r="C47" s="334"/>
      <c r="D47" s="334"/>
      <c r="E47" s="336" t="s">
        <v>207</v>
      </c>
      <c r="F47" s="337"/>
      <c r="G47" s="337"/>
      <c r="H47" s="338"/>
      <c r="I47" s="335" t="s">
        <v>208</v>
      </c>
      <c r="J47" s="334"/>
      <c r="K47" s="334"/>
      <c r="L47" s="335" t="s">
        <v>188</v>
      </c>
      <c r="M47" s="334"/>
      <c r="N47" s="334"/>
      <c r="O47" s="334"/>
    </row>
    <row r="48" spans="1:15" hidden="1" x14ac:dyDescent="0.2">
      <c r="A48" s="322" t="s">
        <v>209</v>
      </c>
      <c r="B48" s="323"/>
      <c r="C48" s="323"/>
      <c r="D48" s="323"/>
      <c r="E48" s="324"/>
      <c r="F48" s="325"/>
      <c r="G48" s="325"/>
      <c r="H48" s="326"/>
      <c r="I48" s="327"/>
      <c r="J48" s="328"/>
      <c r="K48" s="328"/>
      <c r="L48" s="329"/>
      <c r="M48" s="328"/>
      <c r="N48" s="328"/>
      <c r="O48" s="328"/>
    </row>
    <row r="49" spans="1:15" hidden="1" x14ac:dyDescent="0.2">
      <c r="A49" s="322" t="s">
        <v>210</v>
      </c>
      <c r="B49" s="323"/>
      <c r="C49" s="323"/>
      <c r="D49" s="323"/>
      <c r="E49" s="324"/>
      <c r="F49" s="325"/>
      <c r="G49" s="325"/>
      <c r="H49" s="326"/>
      <c r="I49" s="327"/>
      <c r="J49" s="328"/>
      <c r="K49" s="328"/>
      <c r="L49" s="329"/>
      <c r="M49" s="328"/>
      <c r="N49" s="328"/>
      <c r="O49" s="328"/>
    </row>
    <row r="50" spans="1:15" hidden="1" x14ac:dyDescent="0.2">
      <c r="A50" s="322" t="s">
        <v>211</v>
      </c>
      <c r="B50" s="323"/>
      <c r="C50" s="323"/>
      <c r="D50" s="323"/>
      <c r="E50" s="324"/>
      <c r="F50" s="325"/>
      <c r="G50" s="325"/>
      <c r="H50" s="326"/>
      <c r="I50" s="327"/>
      <c r="J50" s="328"/>
      <c r="K50" s="328"/>
      <c r="L50" s="329"/>
      <c r="M50" s="328"/>
      <c r="N50" s="328"/>
      <c r="O50" s="328"/>
    </row>
    <row r="51" spans="1:15" hidden="1" x14ac:dyDescent="0.2">
      <c r="A51" s="322" t="s">
        <v>212</v>
      </c>
      <c r="B51" s="323"/>
      <c r="C51" s="323"/>
      <c r="D51" s="323"/>
      <c r="E51" s="324"/>
      <c r="F51" s="325"/>
      <c r="G51" s="325"/>
      <c r="H51" s="326"/>
      <c r="I51" s="327"/>
      <c r="J51" s="328"/>
      <c r="K51" s="328"/>
      <c r="L51" s="329"/>
      <c r="M51" s="328"/>
      <c r="N51" s="328"/>
      <c r="O51" s="328"/>
    </row>
    <row r="52" spans="1:15" hidden="1" x14ac:dyDescent="0.2">
      <c r="A52" s="322" t="s">
        <v>213</v>
      </c>
      <c r="B52" s="323"/>
      <c r="C52" s="323"/>
      <c r="D52" s="323"/>
      <c r="E52" s="324"/>
      <c r="F52" s="325"/>
      <c r="G52" s="325"/>
      <c r="H52" s="326"/>
      <c r="I52" s="327"/>
      <c r="J52" s="328"/>
      <c r="K52" s="328"/>
      <c r="L52" s="329"/>
      <c r="M52" s="328"/>
      <c r="N52" s="328"/>
      <c r="O52" s="328"/>
    </row>
    <row r="53" spans="1:15" hidden="1" x14ac:dyDescent="0.2"/>
    <row r="54" spans="1:15" hidden="1" x14ac:dyDescent="0.2">
      <c r="A54" s="330" t="s">
        <v>214</v>
      </c>
      <c r="B54" s="331"/>
      <c r="C54" s="331"/>
      <c r="D54" s="331"/>
      <c r="E54" s="331"/>
      <c r="F54" s="331"/>
      <c r="G54" s="331"/>
      <c r="H54" s="331"/>
      <c r="I54" s="331"/>
      <c r="J54" s="331"/>
      <c r="K54" s="331"/>
      <c r="L54" s="331"/>
      <c r="M54" s="331"/>
      <c r="N54" s="331"/>
      <c r="O54" s="331"/>
    </row>
    <row r="55" spans="1:15" hidden="1" x14ac:dyDescent="0.2">
      <c r="A55" s="332" t="s">
        <v>215</v>
      </c>
      <c r="B55" s="328"/>
      <c r="C55" s="328"/>
      <c r="D55" s="328"/>
      <c r="E55" s="328"/>
      <c r="F55" s="328"/>
      <c r="G55" s="328"/>
      <c r="H55" s="328"/>
      <c r="I55" s="328"/>
      <c r="J55" s="328"/>
      <c r="K55" s="328"/>
      <c r="L55" s="328"/>
      <c r="M55" s="328"/>
      <c r="N55" s="328"/>
      <c r="O55" s="328"/>
    </row>
    <row r="56" spans="1:15" hidden="1" x14ac:dyDescent="0.2">
      <c r="A56" s="328"/>
      <c r="B56" s="328"/>
      <c r="C56" s="328"/>
      <c r="D56" s="328"/>
      <c r="E56" s="328"/>
      <c r="F56" s="328"/>
      <c r="G56" s="328"/>
      <c r="H56" s="328"/>
      <c r="I56" s="328"/>
      <c r="J56" s="328"/>
      <c r="K56" s="328"/>
      <c r="L56" s="328"/>
      <c r="M56" s="328"/>
      <c r="N56" s="328"/>
      <c r="O56" s="328"/>
    </row>
    <row r="57" spans="1:15" hidden="1" x14ac:dyDescent="0.2">
      <c r="A57" s="328"/>
      <c r="B57" s="328"/>
      <c r="C57" s="328"/>
      <c r="D57" s="328"/>
      <c r="E57" s="328"/>
      <c r="F57" s="328"/>
      <c r="G57" s="328"/>
      <c r="H57" s="328"/>
      <c r="I57" s="328"/>
      <c r="J57" s="328"/>
      <c r="K57" s="328"/>
      <c r="L57" s="328"/>
      <c r="M57" s="328"/>
      <c r="N57" s="328"/>
      <c r="O57" s="328"/>
    </row>
    <row r="58" spans="1:15" ht="6.4" hidden="1" customHeight="1" x14ac:dyDescent="0.2">
      <c r="A58" s="328"/>
      <c r="B58" s="328"/>
      <c r="C58" s="328"/>
      <c r="D58" s="328"/>
      <c r="E58" s="328"/>
      <c r="F58" s="328"/>
      <c r="G58" s="328"/>
      <c r="H58" s="328"/>
      <c r="I58" s="328"/>
      <c r="J58" s="328"/>
      <c r="K58" s="328"/>
      <c r="L58" s="328"/>
      <c r="M58" s="328"/>
      <c r="N58" s="328"/>
      <c r="O58" s="328"/>
    </row>
    <row r="59" spans="1:15" x14ac:dyDescent="0.2">
      <c r="J59" s="282" t="s">
        <v>216</v>
      </c>
      <c r="K59" s="182"/>
      <c r="L59" s="182"/>
      <c r="M59" s="182"/>
      <c r="N59" s="182"/>
      <c r="O59" s="182"/>
    </row>
  </sheetData>
  <mergeCells count="65">
    <mergeCell ref="A48:D48"/>
    <mergeCell ref="E48:H48"/>
    <mergeCell ref="I48:K48"/>
    <mergeCell ref="L48:O48"/>
    <mergeCell ref="A49:D49"/>
    <mergeCell ref="E49:H49"/>
    <mergeCell ref="I49:K49"/>
    <mergeCell ref="L49:O49"/>
    <mergeCell ref="A54:O54"/>
    <mergeCell ref="A55:O58"/>
    <mergeCell ref="A50:D50"/>
    <mergeCell ref="E50:H50"/>
    <mergeCell ref="I50:K50"/>
    <mergeCell ref="L50:O50"/>
    <mergeCell ref="A51:D51"/>
    <mergeCell ref="E51:H51"/>
    <mergeCell ref="I51:K51"/>
    <mergeCell ref="L51:O51"/>
    <mergeCell ref="A52:D52"/>
    <mergeCell ref="E52:H52"/>
    <mergeCell ref="I52:K52"/>
    <mergeCell ref="L52:O52"/>
    <mergeCell ref="L44:O44"/>
    <mergeCell ref="A46:O46"/>
    <mergeCell ref="A47:D47"/>
    <mergeCell ref="E47:H47"/>
    <mergeCell ref="I47:K47"/>
    <mergeCell ref="L47:O47"/>
    <mergeCell ref="A44:C44"/>
    <mergeCell ref="D44:F44"/>
    <mergeCell ref="G44:K44"/>
    <mergeCell ref="A42:C42"/>
    <mergeCell ref="D42:F42"/>
    <mergeCell ref="G42:K42"/>
    <mergeCell ref="L42:O42"/>
    <mergeCell ref="A43:C43"/>
    <mergeCell ref="D43:F43"/>
    <mergeCell ref="G43:K43"/>
    <mergeCell ref="L43:O43"/>
    <mergeCell ref="A40:C40"/>
    <mergeCell ref="D40:F40"/>
    <mergeCell ref="G40:K40"/>
    <mergeCell ref="L40:O40"/>
    <mergeCell ref="A41:C41"/>
    <mergeCell ref="D41:F41"/>
    <mergeCell ref="G41:K41"/>
    <mergeCell ref="L41:O41"/>
    <mergeCell ref="A9:C9"/>
    <mergeCell ref="D9:O9"/>
    <mergeCell ref="A11:O11"/>
    <mergeCell ref="A38:O38"/>
    <mergeCell ref="A39:C39"/>
    <mergeCell ref="D39:F39"/>
    <mergeCell ref="G39:K39"/>
    <mergeCell ref="L39:O39"/>
    <mergeCell ref="I13:I24"/>
    <mergeCell ref="N13:N24"/>
    <mergeCell ref="O13:O24"/>
    <mergeCell ref="A8:C8"/>
    <mergeCell ref="D8:O8"/>
    <mergeCell ref="A5:O5"/>
    <mergeCell ref="A6:C6"/>
    <mergeCell ref="D6:O6"/>
    <mergeCell ref="A7:C7"/>
    <mergeCell ref="D7:O7"/>
  </mergeCells>
  <conditionalFormatting sqref="A13:N13 A14:H24 J14:M24 A25:O36">
    <cfRule type="expression" dxfId="23" priority="1">
      <formula>$J13="Khẩn"</formula>
    </cfRule>
    <cfRule type="expression" dxfId="22" priority="2">
      <formula>$J13="Bình thường"</formula>
    </cfRule>
    <cfRule type="expression" dxfId="21" priority="3">
      <formula>$J13="Dự phòng"</formula>
    </cfRule>
    <cfRule type="expression" dxfId="20" priority="4">
      <formula>AND($F13&gt;$G13,$F13&gt;0)</formula>
    </cfRule>
  </conditionalFormatting>
  <conditionalFormatting sqref="O13">
    <cfRule type="expression" dxfId="19" priority="41">
      <formula>$J17="Khẩn"</formula>
    </cfRule>
    <cfRule type="expression" dxfId="18" priority="42">
      <formula>$J17="Bình thường"</formula>
    </cfRule>
    <cfRule type="expression" dxfId="17" priority="43">
      <formula>$J17="Dự phòng"</formula>
    </cfRule>
    <cfRule type="expression" dxfId="16" priority="44">
      <formula>AND($F17&gt;$G17,$F17&gt;0)</formula>
    </cfRule>
  </conditionalFormatting>
  <dataValidations count="2">
    <dataValidation type="list" allowBlank="1" showInputMessage="1" showErrorMessage="1" sqref="K13:K36" xr:uid="{F8A23ED6-3DF9-4694-9F64-0432EADE2AED}">
      <formula1>"CCDC,NPL,Tiêu hao"</formula1>
    </dataValidation>
    <dataValidation type="list" allowBlank="1" showInputMessage="1" showErrorMessage="1" sqref="J13:J36" xr:uid="{30C91C32-6314-4D20-B506-A3600019BB39}">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8AF195F-6D08-41A9-99DF-A4344CF8CD7D}">
          <x14:formula1>
            <xm:f>DATA!$B:$B</xm:f>
          </x14:formula1>
          <xm:sqref>E13:E36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A91D-6021-47F2-ABD2-12DB2D466872}">
  <dimension ref="A1:Q52"/>
  <sheetViews>
    <sheetView zoomScaleNormal="100" zoomScaleSheetLayoutView="100" workbookViewId="0">
      <selection activeCell="Q34" sqref="Q34"/>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94/PRD-MRF/0526</v>
      </c>
      <c r="P2" s="277">
        <v>94</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426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c r="P12" s="299" t="s">
        <v>400</v>
      </c>
    </row>
    <row r="13" spans="1:17" x14ac:dyDescent="0.2">
      <c r="A13" s="285">
        <v>1</v>
      </c>
      <c r="B13" s="286" t="s">
        <v>378</v>
      </c>
      <c r="C13" s="286"/>
      <c r="D13" s="286" t="s">
        <v>462</v>
      </c>
      <c r="E13" s="285" t="s">
        <v>301</v>
      </c>
      <c r="F13" s="285">
        <v>1</v>
      </c>
      <c r="G13" s="285">
        <v>0</v>
      </c>
      <c r="H13" s="285"/>
      <c r="I13" s="287" t="s">
        <v>459</v>
      </c>
      <c r="J13" s="285" t="s">
        <v>189</v>
      </c>
      <c r="K13" s="285" t="s">
        <v>190</v>
      </c>
      <c r="L13" s="288"/>
      <c r="M13" s="288" t="str">
        <f t="shared" ref="M13:M29" si="0">IF(AND(ISNUMBER(F13),ISNUMBER(L13)),F13*L13,"")</f>
        <v/>
      </c>
      <c r="N13" s="285" t="s">
        <v>463</v>
      </c>
      <c r="O13" s="289"/>
    </row>
    <row r="14" spans="1:17" x14ac:dyDescent="0.2">
      <c r="A14" s="285">
        <v>2</v>
      </c>
      <c r="B14" s="286" t="s">
        <v>464</v>
      </c>
      <c r="C14" s="286"/>
      <c r="D14" s="286"/>
      <c r="E14" s="285" t="s">
        <v>323</v>
      </c>
      <c r="F14" s="285">
        <v>2000</v>
      </c>
      <c r="G14" s="285"/>
      <c r="H14" s="285"/>
      <c r="I14" s="319" t="s">
        <v>466</v>
      </c>
      <c r="J14" s="285" t="s">
        <v>192</v>
      </c>
      <c r="K14" s="285" t="s">
        <v>195</v>
      </c>
      <c r="L14" s="288"/>
      <c r="M14" s="288"/>
      <c r="N14" s="285"/>
      <c r="O14" s="312" t="s">
        <v>467</v>
      </c>
    </row>
    <row r="15" spans="1:17" x14ac:dyDescent="0.2">
      <c r="A15" s="285">
        <v>3</v>
      </c>
      <c r="B15" s="286" t="s">
        <v>465</v>
      </c>
      <c r="C15" s="286"/>
      <c r="D15" s="286"/>
      <c r="E15" s="285" t="s">
        <v>323</v>
      </c>
      <c r="F15" s="285">
        <v>2000</v>
      </c>
      <c r="G15" s="285"/>
      <c r="H15" s="285"/>
      <c r="I15" s="321"/>
      <c r="J15" s="285" t="s">
        <v>192</v>
      </c>
      <c r="K15" s="285" t="s">
        <v>195</v>
      </c>
      <c r="L15" s="288"/>
      <c r="M15" s="288"/>
      <c r="N15" s="285"/>
      <c r="O15" s="314"/>
    </row>
    <row r="16" spans="1:17" hidden="1" x14ac:dyDescent="0.2">
      <c r="A16" s="285"/>
      <c r="B16" s="286"/>
      <c r="C16" s="286"/>
      <c r="D16" s="286"/>
      <c r="E16" s="285"/>
      <c r="F16" s="285"/>
      <c r="G16" s="285"/>
      <c r="H16" s="285"/>
      <c r="I16" s="287"/>
      <c r="J16" s="285"/>
      <c r="K16" s="285"/>
      <c r="L16" s="288"/>
      <c r="M16" s="288"/>
      <c r="N16" s="285"/>
      <c r="O16" s="289"/>
    </row>
    <row r="17" spans="1:15" ht="1.9" hidden="1" customHeight="1" x14ac:dyDescent="0.2">
      <c r="A17" s="285"/>
      <c r="B17" s="286"/>
      <c r="C17" s="286"/>
      <c r="D17" s="286"/>
      <c r="E17" s="285"/>
      <c r="F17" s="285"/>
      <c r="G17" s="285"/>
      <c r="H17" s="285"/>
      <c r="I17" s="287"/>
      <c r="J17" s="285"/>
      <c r="K17" s="285"/>
      <c r="L17" s="288"/>
      <c r="M17" s="288"/>
      <c r="N17" s="285"/>
      <c r="O17" s="289"/>
    </row>
    <row r="18" spans="1:15" hidden="1" x14ac:dyDescent="0.2">
      <c r="A18" s="285"/>
      <c r="B18" s="286"/>
      <c r="C18" s="286"/>
      <c r="D18" s="286"/>
      <c r="E18" s="285"/>
      <c r="F18" s="285"/>
      <c r="G18" s="285"/>
      <c r="H18" s="285"/>
      <c r="I18" s="287"/>
      <c r="J18" s="285"/>
      <c r="K18" s="285"/>
      <c r="L18" s="288"/>
      <c r="M18" s="288"/>
      <c r="N18" s="285"/>
      <c r="O18" s="289"/>
    </row>
    <row r="19" spans="1:15" hidden="1" x14ac:dyDescent="0.2">
      <c r="A19" s="285"/>
      <c r="B19" s="286"/>
      <c r="C19" s="286"/>
      <c r="D19" s="286"/>
      <c r="E19" s="285"/>
      <c r="F19" s="285"/>
      <c r="G19" s="285"/>
      <c r="H19" s="285"/>
      <c r="I19" s="287"/>
      <c r="J19" s="285"/>
      <c r="K19" s="285"/>
      <c r="L19" s="288"/>
      <c r="M19" s="288"/>
      <c r="N19" s="285"/>
      <c r="O19" s="289"/>
    </row>
    <row r="20" spans="1:15" hidden="1" x14ac:dyDescent="0.2">
      <c r="A20" s="285"/>
      <c r="B20" s="286"/>
      <c r="C20" s="286"/>
      <c r="D20" s="286"/>
      <c r="E20" s="285"/>
      <c r="F20" s="285"/>
      <c r="G20" s="285"/>
      <c r="H20" s="285"/>
      <c r="I20" s="287"/>
      <c r="J20" s="285"/>
      <c r="K20" s="285"/>
      <c r="L20" s="288"/>
      <c r="M20" s="288" t="str">
        <f t="shared" si="0"/>
        <v/>
      </c>
      <c r="N20" s="285"/>
      <c r="O20" s="286"/>
    </row>
    <row r="21" spans="1:15" hidden="1" x14ac:dyDescent="0.2">
      <c r="A21" s="285"/>
      <c r="B21" s="286"/>
      <c r="C21" s="286"/>
      <c r="D21" s="286"/>
      <c r="E21" s="285"/>
      <c r="F21" s="285"/>
      <c r="G21" s="285"/>
      <c r="H21" s="285"/>
      <c r="I21" s="287"/>
      <c r="J21" s="285"/>
      <c r="K21" s="285"/>
      <c r="L21" s="288"/>
      <c r="M21" s="288" t="str">
        <f t="shared" si="0"/>
        <v/>
      </c>
      <c r="N21" s="285"/>
      <c r="O21" s="286"/>
    </row>
    <row r="22" spans="1:15" hidden="1" x14ac:dyDescent="0.2">
      <c r="A22" s="285"/>
      <c r="B22" s="286"/>
      <c r="C22" s="286"/>
      <c r="D22" s="286"/>
      <c r="E22" s="285"/>
      <c r="F22" s="285"/>
      <c r="G22" s="285"/>
      <c r="H22" s="285"/>
      <c r="I22" s="287"/>
      <c r="J22" s="285"/>
      <c r="K22" s="285"/>
      <c r="L22" s="288"/>
      <c r="M22" s="288" t="str">
        <f t="shared" si="0"/>
        <v/>
      </c>
      <c r="N22" s="285"/>
      <c r="O22" s="286"/>
    </row>
    <row r="23" spans="1:15" hidden="1" x14ac:dyDescent="0.2">
      <c r="A23" s="285"/>
      <c r="B23" s="286"/>
      <c r="C23" s="286"/>
      <c r="D23" s="286"/>
      <c r="E23" s="285"/>
      <c r="F23" s="285"/>
      <c r="G23" s="285"/>
      <c r="H23" s="285"/>
      <c r="I23" s="287"/>
      <c r="J23" s="285"/>
      <c r="K23" s="285"/>
      <c r="L23" s="288"/>
      <c r="M23" s="288" t="str">
        <f t="shared" si="0"/>
        <v/>
      </c>
      <c r="N23" s="285"/>
      <c r="O23" s="286"/>
    </row>
    <row r="24" spans="1:15" hidden="1" x14ac:dyDescent="0.2">
      <c r="A24" s="285"/>
      <c r="B24" s="286"/>
      <c r="C24" s="286"/>
      <c r="D24" s="286"/>
      <c r="E24" s="285"/>
      <c r="F24" s="285"/>
      <c r="G24" s="285"/>
      <c r="H24" s="285"/>
      <c r="I24" s="287"/>
      <c r="J24" s="285"/>
      <c r="K24" s="285"/>
      <c r="L24" s="288"/>
      <c r="M24" s="288" t="str">
        <f t="shared" si="0"/>
        <v/>
      </c>
      <c r="N24" s="285"/>
      <c r="O24" s="286"/>
    </row>
    <row r="25" spans="1:15" hidden="1" x14ac:dyDescent="0.2">
      <c r="A25" s="285"/>
      <c r="B25" s="286"/>
      <c r="C25" s="286"/>
      <c r="D25" s="286"/>
      <c r="E25" s="285"/>
      <c r="F25" s="285"/>
      <c r="G25" s="285"/>
      <c r="H25" s="285"/>
      <c r="I25" s="287"/>
      <c r="J25" s="285"/>
      <c r="K25" s="285"/>
      <c r="L25" s="288"/>
      <c r="M25" s="288" t="str">
        <f t="shared" si="0"/>
        <v/>
      </c>
      <c r="N25" s="285"/>
      <c r="O25" s="286"/>
    </row>
    <row r="26" spans="1:15" hidden="1" x14ac:dyDescent="0.2">
      <c r="A26" s="285"/>
      <c r="B26" s="286"/>
      <c r="C26" s="286"/>
      <c r="D26" s="286"/>
      <c r="E26" s="285"/>
      <c r="F26" s="285"/>
      <c r="G26" s="285"/>
      <c r="H26" s="285"/>
      <c r="I26" s="287"/>
      <c r="J26" s="285"/>
      <c r="K26" s="285"/>
      <c r="L26" s="288"/>
      <c r="M26" s="288" t="str">
        <f t="shared" si="0"/>
        <v/>
      </c>
      <c r="N26" s="285"/>
      <c r="O26" s="286"/>
    </row>
    <row r="27" spans="1:15" hidden="1" x14ac:dyDescent="0.2">
      <c r="A27" s="285"/>
      <c r="B27" s="286"/>
      <c r="C27" s="286"/>
      <c r="D27" s="286"/>
      <c r="E27" s="285"/>
      <c r="F27" s="285"/>
      <c r="G27" s="285"/>
      <c r="H27" s="285"/>
      <c r="I27" s="287"/>
      <c r="J27" s="285"/>
      <c r="K27" s="285"/>
      <c r="L27" s="288"/>
      <c r="M27" s="288" t="str">
        <f t="shared" si="0"/>
        <v/>
      </c>
      <c r="N27" s="285"/>
      <c r="O27" s="286"/>
    </row>
    <row r="28" spans="1:15" hidden="1" x14ac:dyDescent="0.2">
      <c r="A28" s="285"/>
      <c r="B28" s="286"/>
      <c r="C28" s="286"/>
      <c r="D28" s="286"/>
      <c r="E28" s="285"/>
      <c r="F28" s="285"/>
      <c r="G28" s="285"/>
      <c r="H28" s="285"/>
      <c r="I28" s="287"/>
      <c r="J28" s="285"/>
      <c r="K28" s="285"/>
      <c r="L28" s="288"/>
      <c r="M28" s="288" t="str">
        <f t="shared" si="0"/>
        <v/>
      </c>
      <c r="N28" s="285"/>
      <c r="O28" s="286"/>
    </row>
    <row r="29" spans="1:15" hidden="1" x14ac:dyDescent="0.2">
      <c r="A29" s="285"/>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4">
    <mergeCell ref="A8:C8"/>
    <mergeCell ref="D8:O8"/>
    <mergeCell ref="A5:O5"/>
    <mergeCell ref="A6:C6"/>
    <mergeCell ref="D6:O6"/>
    <mergeCell ref="A7:C7"/>
    <mergeCell ref="D7:O7"/>
    <mergeCell ref="A9:C9"/>
    <mergeCell ref="D9:O9"/>
    <mergeCell ref="A11:O11"/>
    <mergeCell ref="A31:O31"/>
    <mergeCell ref="A32:C32"/>
    <mergeCell ref="D32:F32"/>
    <mergeCell ref="G32:K32"/>
    <mergeCell ref="L32:O32"/>
    <mergeCell ref="I14:I15"/>
    <mergeCell ref="O14:O15"/>
    <mergeCell ref="A37:C37"/>
    <mergeCell ref="D37:F37"/>
    <mergeCell ref="G37:K37"/>
    <mergeCell ref="L37:O37"/>
    <mergeCell ref="A33:C33"/>
    <mergeCell ref="D33:F33"/>
    <mergeCell ref="G33:K33"/>
    <mergeCell ref="L33:O33"/>
    <mergeCell ref="A34:C34"/>
    <mergeCell ref="D34:F34"/>
    <mergeCell ref="G34:K34"/>
    <mergeCell ref="L34:O34"/>
    <mergeCell ref="A35:C35"/>
    <mergeCell ref="D35:F35"/>
    <mergeCell ref="G35:K35"/>
    <mergeCell ref="L35:O35"/>
    <mergeCell ref="A36:C36"/>
    <mergeCell ref="D36:F36"/>
    <mergeCell ref="G36:K36"/>
    <mergeCell ref="L36:O36"/>
    <mergeCell ref="A39:O39"/>
    <mergeCell ref="A41:D41"/>
    <mergeCell ref="E41:H41"/>
    <mergeCell ref="I41:K41"/>
    <mergeCell ref="L41:O41"/>
    <mergeCell ref="A40:D40"/>
    <mergeCell ref="E40:H40"/>
    <mergeCell ref="I40:K40"/>
    <mergeCell ref="L40:O40"/>
    <mergeCell ref="A48:O51"/>
    <mergeCell ref="A43:D43"/>
    <mergeCell ref="E43:H43"/>
    <mergeCell ref="I43:K43"/>
    <mergeCell ref="L43:O43"/>
    <mergeCell ref="A44:D44"/>
    <mergeCell ref="E44:H44"/>
    <mergeCell ref="I44:K44"/>
    <mergeCell ref="L44:O44"/>
    <mergeCell ref="A45:D45"/>
    <mergeCell ref="E45:H45"/>
    <mergeCell ref="I45:K45"/>
    <mergeCell ref="L45:O45"/>
    <mergeCell ref="A47:O47"/>
    <mergeCell ref="A42:D42"/>
    <mergeCell ref="E42:H42"/>
    <mergeCell ref="I42:K42"/>
    <mergeCell ref="L42:O42"/>
  </mergeCells>
  <conditionalFormatting sqref="A13:O14 A15:H15 J15:N15 A16:O29">
    <cfRule type="expression" dxfId="15" priority="1">
      <formula>$J13="Khẩn"</formula>
    </cfRule>
    <cfRule type="expression" dxfId="14" priority="2">
      <formula>$J13="Bình thường"</formula>
    </cfRule>
    <cfRule type="expression" dxfId="13" priority="3">
      <formula>$J13="Dự phòng"</formula>
    </cfRule>
    <cfRule type="expression" dxfId="12" priority="4">
      <formula>AND($F13&gt;$G13,$F13&gt;0)</formula>
    </cfRule>
  </conditionalFormatting>
  <dataValidations count="2">
    <dataValidation type="list" allowBlank="1" showInputMessage="1" showErrorMessage="1" sqref="K13:K29" xr:uid="{0AF45CE1-9F74-4358-8AB7-7DCF7401056C}">
      <formula1>"CCDC,NPL,Tiêu hao"</formula1>
    </dataValidation>
    <dataValidation type="list" allowBlank="1" showInputMessage="1" showErrorMessage="1" sqref="J13:J29" xr:uid="{46DFC0C4-3A5A-4F1F-B394-F73556F5A77D}">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9E9E46-FA50-4FDC-8287-0A9EDB807490}">
          <x14:formula1>
            <xm:f>DATA!$B:$B</xm:f>
          </x14:formula1>
          <xm:sqref>E13:E29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B2B58-5F74-4A84-96F2-68354AD9FCBC}">
  <dimension ref="A1:Q52"/>
  <sheetViews>
    <sheetView zoomScaleNormal="100" zoomScaleSheetLayoutView="100" workbookViewId="0">
      <selection activeCell="S14" sqref="S14"/>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t="s">
        <v>163</v>
      </c>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95/PRD-MRF/0526</v>
      </c>
      <c r="P2" s="277">
        <v>95</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344</v>
      </c>
      <c r="E7" s="328"/>
      <c r="F7" s="328"/>
      <c r="G7" s="328"/>
      <c r="H7" s="328"/>
      <c r="I7" s="328"/>
      <c r="J7" s="328"/>
      <c r="K7" s="328"/>
      <c r="L7" s="328"/>
      <c r="M7" s="328"/>
      <c r="N7" s="328"/>
      <c r="O7" s="328"/>
    </row>
    <row r="8" spans="1:17" x14ac:dyDescent="0.2">
      <c r="A8" s="339" t="s">
        <v>170</v>
      </c>
      <c r="B8" s="323"/>
      <c r="C8" s="323"/>
      <c r="D8" s="329" t="s">
        <v>347</v>
      </c>
      <c r="E8" s="328"/>
      <c r="F8" s="328"/>
      <c r="G8" s="328"/>
      <c r="H8" s="328"/>
      <c r="I8" s="328"/>
      <c r="J8" s="328"/>
      <c r="K8" s="328"/>
      <c r="L8" s="328"/>
      <c r="M8" s="328"/>
      <c r="N8" s="328"/>
      <c r="O8" s="328"/>
    </row>
    <row r="9" spans="1:17" x14ac:dyDescent="0.2">
      <c r="A9" s="339" t="s">
        <v>172</v>
      </c>
      <c r="B9" s="323"/>
      <c r="C9" s="323"/>
      <c r="D9" s="340" t="s">
        <v>416</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x14ac:dyDescent="0.25">
      <c r="A13" s="285">
        <v>1</v>
      </c>
      <c r="B13" s="286" t="s">
        <v>378</v>
      </c>
      <c r="C13" s="286"/>
      <c r="D13" s="286" t="s">
        <v>468</v>
      </c>
      <c r="E13" s="285" t="s">
        <v>301</v>
      </c>
      <c r="F13" s="285">
        <v>8</v>
      </c>
      <c r="G13" s="285">
        <v>0</v>
      </c>
      <c r="H13" s="285"/>
      <c r="I13" s="287" t="s">
        <v>469</v>
      </c>
      <c r="J13" s="285" t="s">
        <v>189</v>
      </c>
      <c r="K13" s="285" t="s">
        <v>190</v>
      </c>
      <c r="L13" s="288"/>
      <c r="M13" s="288" t="str">
        <f t="shared" ref="M13:M29" si="0">IF(AND(ISNUMBER(F13),ISNUMBER(L13)),F13*L13,"")</f>
        <v/>
      </c>
      <c r="N13" s="303" t="s">
        <v>444</v>
      </c>
      <c r="O13" s="289"/>
    </row>
    <row r="14" spans="1:17" x14ac:dyDescent="0.2">
      <c r="A14" s="285"/>
      <c r="B14" s="286"/>
      <c r="C14" s="286"/>
      <c r="D14" s="286"/>
      <c r="E14" s="285"/>
      <c r="F14" s="285"/>
      <c r="G14" s="285"/>
      <c r="H14" s="285"/>
      <c r="I14" s="287"/>
      <c r="J14" s="285"/>
      <c r="K14" s="285"/>
      <c r="L14" s="288"/>
      <c r="M14" s="288"/>
      <c r="N14" s="285"/>
      <c r="O14" s="289"/>
    </row>
    <row r="15" spans="1:17" x14ac:dyDescent="0.2">
      <c r="A15" s="285"/>
      <c r="B15" s="286"/>
      <c r="C15" s="286"/>
      <c r="D15" s="286"/>
      <c r="E15" s="285"/>
      <c r="F15" s="285"/>
      <c r="G15" s="285"/>
      <c r="H15" s="285"/>
      <c r="I15" s="287"/>
      <c r="J15" s="285"/>
      <c r="K15" s="285"/>
      <c r="L15" s="288"/>
      <c r="M15" s="288"/>
      <c r="N15" s="285"/>
      <c r="O15" s="289"/>
    </row>
    <row r="16" spans="1:17" x14ac:dyDescent="0.2">
      <c r="A16" s="285"/>
      <c r="B16" s="286"/>
      <c r="C16" s="286"/>
      <c r="D16" s="286"/>
      <c r="E16" s="285"/>
      <c r="F16" s="285"/>
      <c r="G16" s="285"/>
      <c r="H16" s="285"/>
      <c r="I16" s="287"/>
      <c r="J16" s="285"/>
      <c r="K16" s="285"/>
      <c r="L16" s="288"/>
      <c r="M16" s="288"/>
      <c r="N16" s="285"/>
      <c r="O16" s="289"/>
    </row>
    <row r="17" spans="1:15" x14ac:dyDescent="0.2">
      <c r="A17" s="285"/>
      <c r="B17" s="286"/>
      <c r="C17" s="286"/>
      <c r="D17" s="286"/>
      <c r="E17" s="285"/>
      <c r="F17" s="285"/>
      <c r="G17" s="285"/>
      <c r="H17" s="285"/>
      <c r="I17" s="287"/>
      <c r="J17" s="285"/>
      <c r="K17" s="285"/>
      <c r="L17" s="288"/>
      <c r="M17" s="288"/>
      <c r="N17" s="285"/>
      <c r="O17" s="289"/>
    </row>
    <row r="18" spans="1:15" x14ac:dyDescent="0.2">
      <c r="A18" s="285"/>
      <c r="B18" s="286"/>
      <c r="C18" s="286"/>
      <c r="D18" s="286"/>
      <c r="E18" s="285"/>
      <c r="F18" s="285"/>
      <c r="G18" s="285"/>
      <c r="H18" s="285"/>
      <c r="I18" s="287"/>
      <c r="J18" s="285"/>
      <c r="K18" s="285"/>
      <c r="L18" s="288"/>
      <c r="M18" s="288"/>
      <c r="N18" s="285"/>
      <c r="O18" s="289"/>
    </row>
    <row r="19" spans="1:15" x14ac:dyDescent="0.2">
      <c r="A19" s="285"/>
      <c r="B19" s="286"/>
      <c r="C19" s="286"/>
      <c r="D19" s="286"/>
      <c r="E19" s="285"/>
      <c r="F19" s="285"/>
      <c r="G19" s="285"/>
      <c r="H19" s="285"/>
      <c r="I19" s="287"/>
      <c r="J19" s="285"/>
      <c r="K19" s="285"/>
      <c r="L19" s="288"/>
      <c r="M19" s="288"/>
      <c r="N19" s="285"/>
      <c r="O19" s="289"/>
    </row>
    <row r="20" spans="1:15" hidden="1" x14ac:dyDescent="0.2">
      <c r="A20" s="285">
        <v>11</v>
      </c>
      <c r="B20" s="286"/>
      <c r="C20" s="286"/>
      <c r="D20" s="286"/>
      <c r="E20" s="285"/>
      <c r="F20" s="285"/>
      <c r="G20" s="285"/>
      <c r="H20" s="285"/>
      <c r="I20" s="287"/>
      <c r="J20" s="285"/>
      <c r="K20" s="285"/>
      <c r="L20" s="288"/>
      <c r="M20" s="288" t="str">
        <f t="shared" si="0"/>
        <v/>
      </c>
      <c r="N20" s="285"/>
      <c r="O20" s="286"/>
    </row>
    <row r="21" spans="1:15" hidden="1" x14ac:dyDescent="0.2">
      <c r="A21" s="285">
        <v>12</v>
      </c>
      <c r="B21" s="286"/>
      <c r="C21" s="286"/>
      <c r="D21" s="286"/>
      <c r="E21" s="285"/>
      <c r="F21" s="285"/>
      <c r="G21" s="285"/>
      <c r="H21" s="285"/>
      <c r="I21" s="287"/>
      <c r="J21" s="285"/>
      <c r="K21" s="285"/>
      <c r="L21" s="288"/>
      <c r="M21" s="288" t="str">
        <f t="shared" si="0"/>
        <v/>
      </c>
      <c r="N21" s="285"/>
      <c r="O21" s="286"/>
    </row>
    <row r="22" spans="1:15" hidden="1" x14ac:dyDescent="0.2">
      <c r="A22" s="285">
        <v>13</v>
      </c>
      <c r="B22" s="286"/>
      <c r="C22" s="286"/>
      <c r="D22" s="286"/>
      <c r="E22" s="285"/>
      <c r="F22" s="285"/>
      <c r="G22" s="285"/>
      <c r="H22" s="285"/>
      <c r="I22" s="287"/>
      <c r="J22" s="285"/>
      <c r="K22" s="285"/>
      <c r="L22" s="288"/>
      <c r="M22" s="288" t="str">
        <f t="shared" si="0"/>
        <v/>
      </c>
      <c r="N22" s="285"/>
      <c r="O22" s="286"/>
    </row>
    <row r="23" spans="1:15" hidden="1" x14ac:dyDescent="0.2">
      <c r="A23" s="285">
        <v>14</v>
      </c>
      <c r="B23" s="286"/>
      <c r="C23" s="286"/>
      <c r="D23" s="286"/>
      <c r="E23" s="285"/>
      <c r="F23" s="285"/>
      <c r="G23" s="285"/>
      <c r="H23" s="285"/>
      <c r="I23" s="287"/>
      <c r="J23" s="285"/>
      <c r="K23" s="285"/>
      <c r="L23" s="288"/>
      <c r="M23" s="288" t="str">
        <f t="shared" si="0"/>
        <v/>
      </c>
      <c r="N23" s="285"/>
      <c r="O23" s="286"/>
    </row>
    <row r="24" spans="1:15" hidden="1" x14ac:dyDescent="0.2">
      <c r="A24" s="285">
        <v>15</v>
      </c>
      <c r="B24" s="286"/>
      <c r="C24" s="286"/>
      <c r="D24" s="286"/>
      <c r="E24" s="285"/>
      <c r="F24" s="285"/>
      <c r="G24" s="285"/>
      <c r="H24" s="285"/>
      <c r="I24" s="287"/>
      <c r="J24" s="285"/>
      <c r="K24" s="285"/>
      <c r="L24" s="288"/>
      <c r="M24" s="288" t="str">
        <f t="shared" si="0"/>
        <v/>
      </c>
      <c r="N24" s="285"/>
      <c r="O24" s="286"/>
    </row>
    <row r="25" spans="1:15" hidden="1" x14ac:dyDescent="0.2">
      <c r="A25" s="285">
        <v>16</v>
      </c>
      <c r="B25" s="286"/>
      <c r="C25" s="286"/>
      <c r="D25" s="286"/>
      <c r="E25" s="285"/>
      <c r="F25" s="285"/>
      <c r="G25" s="285"/>
      <c r="H25" s="285"/>
      <c r="I25" s="287"/>
      <c r="J25" s="285"/>
      <c r="K25" s="285"/>
      <c r="L25" s="288"/>
      <c r="M25" s="288" t="str">
        <f t="shared" si="0"/>
        <v/>
      </c>
      <c r="N25" s="285"/>
      <c r="O25" s="286"/>
    </row>
    <row r="26" spans="1:15" hidden="1" x14ac:dyDescent="0.2">
      <c r="A26" s="285">
        <v>17</v>
      </c>
      <c r="B26" s="286"/>
      <c r="C26" s="286"/>
      <c r="D26" s="286"/>
      <c r="E26" s="285"/>
      <c r="F26" s="285"/>
      <c r="G26" s="285"/>
      <c r="H26" s="285"/>
      <c r="I26" s="287"/>
      <c r="J26" s="285"/>
      <c r="K26" s="285"/>
      <c r="L26" s="288"/>
      <c r="M26" s="288" t="str">
        <f t="shared" si="0"/>
        <v/>
      </c>
      <c r="N26" s="285"/>
      <c r="O26" s="286"/>
    </row>
    <row r="27" spans="1:15" hidden="1" x14ac:dyDescent="0.2">
      <c r="A27" s="285">
        <v>18</v>
      </c>
      <c r="B27" s="286"/>
      <c r="C27" s="286"/>
      <c r="D27" s="286"/>
      <c r="E27" s="285"/>
      <c r="F27" s="285"/>
      <c r="G27" s="285"/>
      <c r="H27" s="285"/>
      <c r="I27" s="287"/>
      <c r="J27" s="285"/>
      <c r="K27" s="285"/>
      <c r="L27" s="288"/>
      <c r="M27" s="288" t="str">
        <f t="shared" si="0"/>
        <v/>
      </c>
      <c r="N27" s="285"/>
      <c r="O27" s="286"/>
    </row>
    <row r="28" spans="1:15" hidden="1" x14ac:dyDescent="0.2">
      <c r="A28" s="285">
        <v>19</v>
      </c>
      <c r="B28" s="286"/>
      <c r="C28" s="286"/>
      <c r="D28" s="286"/>
      <c r="E28" s="285"/>
      <c r="F28" s="285"/>
      <c r="G28" s="285"/>
      <c r="H28" s="285"/>
      <c r="I28" s="287"/>
      <c r="J28" s="285"/>
      <c r="K28" s="285"/>
      <c r="L28" s="288"/>
      <c r="M28" s="288" t="str">
        <f t="shared" si="0"/>
        <v/>
      </c>
      <c r="N28" s="285"/>
      <c r="O28" s="286"/>
    </row>
    <row r="29" spans="1:15" hidden="1" x14ac:dyDescent="0.2">
      <c r="A29" s="285">
        <v>20</v>
      </c>
      <c r="B29" s="286"/>
      <c r="C29" s="286"/>
      <c r="D29" s="286"/>
      <c r="E29" s="285"/>
      <c r="F29" s="285"/>
      <c r="G29" s="285"/>
      <c r="H29" s="285"/>
      <c r="I29" s="287"/>
      <c r="J29" s="285"/>
      <c r="K29" s="285"/>
      <c r="L29" s="288"/>
      <c r="M29" s="288" t="str">
        <f t="shared" si="0"/>
        <v/>
      </c>
      <c r="N29" s="285"/>
      <c r="O29" s="286"/>
    </row>
    <row r="30" spans="1:15" x14ac:dyDescent="0.2">
      <c r="A30" s="266"/>
      <c r="B30" s="266"/>
      <c r="C30" s="266"/>
      <c r="D30" s="266"/>
      <c r="E30" s="266"/>
      <c r="F30" s="266"/>
      <c r="G30" s="266"/>
      <c r="H30" s="266"/>
      <c r="I30" s="266"/>
      <c r="J30" s="266"/>
      <c r="K30" s="266"/>
      <c r="L30" s="266"/>
      <c r="M30" s="266"/>
      <c r="N30" s="268"/>
      <c r="O30" s="266"/>
    </row>
    <row r="31" spans="1:15" x14ac:dyDescent="0.2">
      <c r="A31" s="333" t="s">
        <v>196</v>
      </c>
      <c r="B31" s="334"/>
      <c r="C31" s="334"/>
      <c r="D31" s="334"/>
      <c r="E31" s="334"/>
      <c r="F31" s="334"/>
      <c r="G31" s="334"/>
      <c r="H31" s="334"/>
      <c r="I31" s="334"/>
      <c r="J31" s="334"/>
      <c r="K31" s="334"/>
      <c r="L31" s="334"/>
      <c r="M31" s="334"/>
      <c r="N31" s="334"/>
      <c r="O31" s="334"/>
    </row>
    <row r="32" spans="1:15" x14ac:dyDescent="0.2">
      <c r="A32" s="335" t="s">
        <v>197</v>
      </c>
      <c r="B32" s="334"/>
      <c r="C32" s="334"/>
      <c r="D32" s="335" t="s">
        <v>198</v>
      </c>
      <c r="E32" s="334"/>
      <c r="F32" s="334"/>
      <c r="G32" s="335" t="s">
        <v>199</v>
      </c>
      <c r="H32" s="335"/>
      <c r="I32" s="334"/>
      <c r="J32" s="334"/>
      <c r="K32" s="334"/>
      <c r="L32" s="335" t="s">
        <v>188</v>
      </c>
      <c r="M32" s="334"/>
      <c r="N32" s="334"/>
      <c r="O32" s="334"/>
    </row>
    <row r="33" spans="1:15" ht="27" customHeight="1" x14ac:dyDescent="0.2">
      <c r="A33" s="322" t="s">
        <v>200</v>
      </c>
      <c r="B33" s="323"/>
      <c r="C33" s="323"/>
      <c r="D33" s="327" t="s">
        <v>347</v>
      </c>
      <c r="E33" s="328"/>
      <c r="F33" s="328"/>
      <c r="G33" s="327"/>
      <c r="H33" s="327"/>
      <c r="I33" s="328"/>
      <c r="J33" s="328"/>
      <c r="K33" s="328"/>
      <c r="L33" s="329"/>
      <c r="M33" s="328"/>
      <c r="N33" s="328"/>
      <c r="O33" s="328"/>
    </row>
    <row r="34" spans="1:15" ht="27" customHeight="1" x14ac:dyDescent="0.2">
      <c r="A34" s="322" t="s">
        <v>201</v>
      </c>
      <c r="B34" s="323"/>
      <c r="C34" s="323"/>
      <c r="D34" s="327" t="s">
        <v>347</v>
      </c>
      <c r="E34" s="328"/>
      <c r="F34" s="328"/>
      <c r="G34" s="327"/>
      <c r="H34" s="327"/>
      <c r="I34" s="328"/>
      <c r="J34" s="328"/>
      <c r="K34" s="328"/>
      <c r="L34" s="329"/>
      <c r="M34" s="328"/>
      <c r="N34" s="328"/>
      <c r="O34" s="328"/>
    </row>
    <row r="35" spans="1:15" ht="27" customHeight="1" x14ac:dyDescent="0.2">
      <c r="A35" s="322" t="s">
        <v>202</v>
      </c>
      <c r="B35" s="323"/>
      <c r="C35" s="323"/>
      <c r="D35" s="327"/>
      <c r="E35" s="328"/>
      <c r="F35" s="328"/>
      <c r="G35" s="327"/>
      <c r="H35" s="327"/>
      <c r="I35" s="328"/>
      <c r="J35" s="328"/>
      <c r="K35" s="328"/>
      <c r="L35" s="329"/>
      <c r="M35" s="328"/>
      <c r="N35" s="328"/>
      <c r="O35" s="328"/>
    </row>
    <row r="36" spans="1:15" ht="27" customHeight="1" x14ac:dyDescent="0.2">
      <c r="A36" s="322" t="s">
        <v>203</v>
      </c>
      <c r="B36" s="323"/>
      <c r="C36" s="323"/>
      <c r="D36" s="327"/>
      <c r="E36" s="328"/>
      <c r="F36" s="328"/>
      <c r="G36" s="327"/>
      <c r="H36" s="327"/>
      <c r="I36" s="328"/>
      <c r="J36" s="328"/>
      <c r="K36" s="328"/>
      <c r="L36" s="329"/>
      <c r="M36" s="328"/>
      <c r="N36" s="328"/>
      <c r="O36" s="328"/>
    </row>
    <row r="37" spans="1:15" ht="27" customHeight="1" x14ac:dyDescent="0.2">
      <c r="A37" s="322" t="s">
        <v>204</v>
      </c>
      <c r="B37" s="323"/>
      <c r="C37" s="323"/>
      <c r="D37" s="327"/>
      <c r="E37" s="328"/>
      <c r="F37" s="328"/>
      <c r="G37" s="327"/>
      <c r="H37" s="327"/>
      <c r="I37" s="328"/>
      <c r="J37" s="328"/>
      <c r="K37" s="328"/>
      <c r="L37" s="329"/>
      <c r="M37" s="328"/>
      <c r="N37" s="328"/>
      <c r="O37" s="328"/>
    </row>
    <row r="38" spans="1:15" hidden="1" x14ac:dyDescent="0.2"/>
    <row r="39" spans="1:15" hidden="1" x14ac:dyDescent="0.2">
      <c r="A39" s="333" t="s">
        <v>205</v>
      </c>
      <c r="B39" s="334"/>
      <c r="C39" s="334"/>
      <c r="D39" s="334"/>
      <c r="E39" s="334"/>
      <c r="F39" s="334"/>
      <c r="G39" s="334"/>
      <c r="H39" s="334"/>
      <c r="I39" s="334"/>
      <c r="J39" s="334"/>
      <c r="K39" s="334"/>
      <c r="L39" s="334"/>
      <c r="M39" s="334"/>
      <c r="N39" s="334"/>
      <c r="O39" s="334"/>
    </row>
    <row r="40" spans="1:15" hidden="1" x14ac:dyDescent="0.2">
      <c r="A40" s="335" t="s">
        <v>206</v>
      </c>
      <c r="B40" s="334"/>
      <c r="C40" s="334"/>
      <c r="D40" s="334"/>
      <c r="E40" s="336" t="s">
        <v>207</v>
      </c>
      <c r="F40" s="337"/>
      <c r="G40" s="337"/>
      <c r="H40" s="338"/>
      <c r="I40" s="335" t="s">
        <v>208</v>
      </c>
      <c r="J40" s="334"/>
      <c r="K40" s="334"/>
      <c r="L40" s="335" t="s">
        <v>188</v>
      </c>
      <c r="M40" s="334"/>
      <c r="N40" s="334"/>
      <c r="O40" s="334"/>
    </row>
    <row r="41" spans="1:15" hidden="1" x14ac:dyDescent="0.2">
      <c r="A41" s="322" t="s">
        <v>209</v>
      </c>
      <c r="B41" s="323"/>
      <c r="C41" s="323"/>
      <c r="D41" s="323"/>
      <c r="E41" s="324"/>
      <c r="F41" s="325"/>
      <c r="G41" s="325"/>
      <c r="H41" s="326"/>
      <c r="I41" s="327"/>
      <c r="J41" s="328"/>
      <c r="K41" s="328"/>
      <c r="L41" s="329"/>
      <c r="M41" s="328"/>
      <c r="N41" s="328"/>
      <c r="O41" s="328"/>
    </row>
    <row r="42" spans="1:15" hidden="1" x14ac:dyDescent="0.2">
      <c r="A42" s="322" t="s">
        <v>210</v>
      </c>
      <c r="B42" s="323"/>
      <c r="C42" s="323"/>
      <c r="D42" s="323"/>
      <c r="E42" s="324"/>
      <c r="F42" s="325"/>
      <c r="G42" s="325"/>
      <c r="H42" s="326"/>
      <c r="I42" s="327"/>
      <c r="J42" s="328"/>
      <c r="K42" s="328"/>
      <c r="L42" s="329"/>
      <c r="M42" s="328"/>
      <c r="N42" s="328"/>
      <c r="O42" s="328"/>
    </row>
    <row r="43" spans="1:15" hidden="1" x14ac:dyDescent="0.2">
      <c r="A43" s="322" t="s">
        <v>211</v>
      </c>
      <c r="B43" s="323"/>
      <c r="C43" s="323"/>
      <c r="D43" s="323"/>
      <c r="E43" s="324"/>
      <c r="F43" s="325"/>
      <c r="G43" s="325"/>
      <c r="H43" s="326"/>
      <c r="I43" s="327"/>
      <c r="J43" s="328"/>
      <c r="K43" s="328"/>
      <c r="L43" s="329"/>
      <c r="M43" s="328"/>
      <c r="N43" s="328"/>
      <c r="O43" s="328"/>
    </row>
    <row r="44" spans="1:15" hidden="1" x14ac:dyDescent="0.2">
      <c r="A44" s="322" t="s">
        <v>212</v>
      </c>
      <c r="B44" s="323"/>
      <c r="C44" s="323"/>
      <c r="D44" s="323"/>
      <c r="E44" s="324"/>
      <c r="F44" s="325"/>
      <c r="G44" s="325"/>
      <c r="H44" s="326"/>
      <c r="I44" s="327"/>
      <c r="J44" s="328"/>
      <c r="K44" s="328"/>
      <c r="L44" s="329"/>
      <c r="M44" s="328"/>
      <c r="N44" s="328"/>
      <c r="O44" s="328"/>
    </row>
    <row r="45" spans="1:15" hidden="1" x14ac:dyDescent="0.2">
      <c r="A45" s="322" t="s">
        <v>213</v>
      </c>
      <c r="B45" s="323"/>
      <c r="C45" s="323"/>
      <c r="D45" s="323"/>
      <c r="E45" s="324"/>
      <c r="F45" s="325"/>
      <c r="G45" s="325"/>
      <c r="H45" s="326"/>
      <c r="I45" s="327"/>
      <c r="J45" s="328"/>
      <c r="K45" s="328"/>
      <c r="L45" s="329"/>
      <c r="M45" s="328"/>
      <c r="N45" s="328"/>
      <c r="O45" s="328"/>
    </row>
    <row r="46" spans="1:15" hidden="1" x14ac:dyDescent="0.2"/>
    <row r="47" spans="1:15" hidden="1" x14ac:dyDescent="0.2">
      <c r="A47" s="330" t="s">
        <v>214</v>
      </c>
      <c r="B47" s="331"/>
      <c r="C47" s="331"/>
      <c r="D47" s="331"/>
      <c r="E47" s="331"/>
      <c r="F47" s="331"/>
      <c r="G47" s="331"/>
      <c r="H47" s="331"/>
      <c r="I47" s="331"/>
      <c r="J47" s="331"/>
      <c r="K47" s="331"/>
      <c r="L47" s="331"/>
      <c r="M47" s="331"/>
      <c r="N47" s="331"/>
      <c r="O47" s="331"/>
    </row>
    <row r="48" spans="1:15" hidden="1" x14ac:dyDescent="0.2">
      <c r="A48" s="332" t="s">
        <v>215</v>
      </c>
      <c r="B48" s="328"/>
      <c r="C48" s="328"/>
      <c r="D48" s="328"/>
      <c r="E48" s="328"/>
      <c r="F48" s="328"/>
      <c r="G48" s="328"/>
      <c r="H48" s="328"/>
      <c r="I48" s="328"/>
      <c r="J48" s="328"/>
      <c r="K48" s="328"/>
      <c r="L48" s="328"/>
      <c r="M48" s="328"/>
      <c r="N48" s="328"/>
      <c r="O48" s="328"/>
    </row>
    <row r="49" spans="1:15" hidden="1" x14ac:dyDescent="0.2">
      <c r="A49" s="328"/>
      <c r="B49" s="328"/>
      <c r="C49" s="328"/>
      <c r="D49" s="328"/>
      <c r="E49" s="328"/>
      <c r="F49" s="328"/>
      <c r="G49" s="328"/>
      <c r="H49" s="328"/>
      <c r="I49" s="328"/>
      <c r="J49" s="328"/>
      <c r="K49" s="328"/>
      <c r="L49" s="328"/>
      <c r="M49" s="328"/>
      <c r="N49" s="328"/>
      <c r="O49" s="328"/>
    </row>
    <row r="50" spans="1:15" hidden="1" x14ac:dyDescent="0.2">
      <c r="A50" s="328"/>
      <c r="B50" s="328"/>
      <c r="C50" s="328"/>
      <c r="D50" s="328"/>
      <c r="E50" s="328"/>
      <c r="F50" s="328"/>
      <c r="G50" s="328"/>
      <c r="H50" s="328"/>
      <c r="I50" s="328"/>
      <c r="J50" s="328"/>
      <c r="K50" s="328"/>
      <c r="L50" s="328"/>
      <c r="M50" s="328"/>
      <c r="N50" s="328"/>
      <c r="O50" s="328"/>
    </row>
    <row r="51" spans="1:15" ht="6.4" hidden="1" customHeight="1" x14ac:dyDescent="0.2">
      <c r="A51" s="328"/>
      <c r="B51" s="328"/>
      <c r="C51" s="328"/>
      <c r="D51" s="328"/>
      <c r="E51" s="328"/>
      <c r="F51" s="328"/>
      <c r="G51" s="328"/>
      <c r="H51" s="328"/>
      <c r="I51" s="328"/>
      <c r="J51" s="328"/>
      <c r="K51" s="328"/>
      <c r="L51" s="328"/>
      <c r="M51" s="328"/>
      <c r="N51" s="328"/>
      <c r="O51" s="328"/>
    </row>
    <row r="52" spans="1:15" x14ac:dyDescent="0.2">
      <c r="J52" s="282" t="s">
        <v>216</v>
      </c>
      <c r="K52" s="182"/>
      <c r="L52" s="182"/>
      <c r="M52" s="182"/>
      <c r="N52" s="182"/>
      <c r="O52" s="182"/>
    </row>
  </sheetData>
  <mergeCells count="62">
    <mergeCell ref="L45:O45"/>
    <mergeCell ref="A47:O47"/>
    <mergeCell ref="A42:D42"/>
    <mergeCell ref="E42:H42"/>
    <mergeCell ref="I42:K42"/>
    <mergeCell ref="L42:O42"/>
    <mergeCell ref="A48:O51"/>
    <mergeCell ref="A43:D43"/>
    <mergeCell ref="E43:H43"/>
    <mergeCell ref="I43:K43"/>
    <mergeCell ref="L43:O43"/>
    <mergeCell ref="A44:D44"/>
    <mergeCell ref="E44:H44"/>
    <mergeCell ref="I44:K44"/>
    <mergeCell ref="L44:O44"/>
    <mergeCell ref="A45:D45"/>
    <mergeCell ref="E45:H45"/>
    <mergeCell ref="I45:K45"/>
    <mergeCell ref="A39:O39"/>
    <mergeCell ref="A41:D41"/>
    <mergeCell ref="E41:H41"/>
    <mergeCell ref="I41:K41"/>
    <mergeCell ref="L41:O41"/>
    <mergeCell ref="A40:D40"/>
    <mergeCell ref="E40:H40"/>
    <mergeCell ref="I40:K40"/>
    <mergeCell ref="L40:O40"/>
    <mergeCell ref="A35:C35"/>
    <mergeCell ref="D35:F35"/>
    <mergeCell ref="G35:K35"/>
    <mergeCell ref="L35:O35"/>
    <mergeCell ref="A36:C36"/>
    <mergeCell ref="D36:F36"/>
    <mergeCell ref="G36:K36"/>
    <mergeCell ref="L36:O36"/>
    <mergeCell ref="A37:C37"/>
    <mergeCell ref="D37:F37"/>
    <mergeCell ref="G37:K37"/>
    <mergeCell ref="L37:O37"/>
    <mergeCell ref="A33:C33"/>
    <mergeCell ref="D33:F33"/>
    <mergeCell ref="G33:K33"/>
    <mergeCell ref="L33:O33"/>
    <mergeCell ref="A34:C34"/>
    <mergeCell ref="D34:F34"/>
    <mergeCell ref="G34:K34"/>
    <mergeCell ref="L34:O34"/>
    <mergeCell ref="A9:C9"/>
    <mergeCell ref="D9:O9"/>
    <mergeCell ref="A11:O11"/>
    <mergeCell ref="A31:O31"/>
    <mergeCell ref="A32:C32"/>
    <mergeCell ref="D32:F32"/>
    <mergeCell ref="G32:K32"/>
    <mergeCell ref="L32:O32"/>
    <mergeCell ref="A8:C8"/>
    <mergeCell ref="D8:O8"/>
    <mergeCell ref="A5:O5"/>
    <mergeCell ref="A6:C6"/>
    <mergeCell ref="D6:O6"/>
    <mergeCell ref="A7:C7"/>
    <mergeCell ref="D7:O7"/>
  </mergeCells>
  <conditionalFormatting sqref="A13:M13 O13 A14:O29">
    <cfRule type="expression" dxfId="11" priority="1">
      <formula>$J13="Khẩn"</formula>
    </cfRule>
    <cfRule type="expression" dxfId="10" priority="2">
      <formula>$J13="Bình thường"</formula>
    </cfRule>
    <cfRule type="expression" dxfId="9" priority="3">
      <formula>$J13="Dự phòng"</formula>
    </cfRule>
    <cfRule type="expression" dxfId="8" priority="4">
      <formula>AND($F13&gt;$G13,$F13&gt;0)</formula>
    </cfRule>
  </conditionalFormatting>
  <dataValidations count="2">
    <dataValidation type="list" allowBlank="1" showInputMessage="1" showErrorMessage="1" sqref="K13:K29" xr:uid="{785649E0-5AF1-4ACB-AEC0-46742AC95D77}">
      <formula1>"CCDC,NPL,Tiêu hao"</formula1>
    </dataValidation>
    <dataValidation type="list" allowBlank="1" showInputMessage="1" showErrorMessage="1" sqref="J13:J29" xr:uid="{795C231D-AC89-4501-B0AB-0EDD78AD95BF}">
      <formula1>"Khẩn,Bình thường,Dự phòng"</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0010292-2534-4676-9D47-B3077C9AC96F}">
          <x14:formula1>
            <xm:f>DATA!$B:$B</xm:f>
          </x14:formula1>
          <xm:sqref>E13:E29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5552-1FA7-4075-8552-E6E809216E3C}">
  <dimension ref="A1:Q55"/>
  <sheetViews>
    <sheetView tabSelected="1" zoomScale="85" zoomScaleNormal="85" zoomScaleSheetLayoutView="100" workbookViewId="0">
      <selection activeCell="S12" sqref="S12"/>
    </sheetView>
  </sheetViews>
  <sheetFormatPr defaultColWidth="8.5703125" defaultRowHeight="15.75" x14ac:dyDescent="0.2"/>
  <cols>
    <col min="1" max="1" width="4.140625" style="171" customWidth="1"/>
    <col min="2" max="2" width="31.140625" style="171" customWidth="1"/>
    <col min="3" max="3" width="4.28515625" style="171" hidden="1" customWidth="1"/>
    <col min="4" max="4" width="25" style="171" customWidth="1"/>
    <col min="5" max="5" width="6.7109375" style="171" customWidth="1"/>
    <col min="6" max="7" width="7.5703125" style="171" customWidth="1"/>
    <col min="8" max="8" width="6.85546875" style="171" customWidth="1"/>
    <col min="9" max="9" width="12.28515625" style="171" customWidth="1"/>
    <col min="10" max="10" width="12.85546875" style="171" customWidth="1"/>
    <col min="11" max="11" width="11.140625" style="171" customWidth="1"/>
    <col min="12" max="13" width="0" style="171" hidden="1" customWidth="1"/>
    <col min="14" max="14" width="18.5703125" style="172" customWidth="1"/>
    <col min="15" max="15" width="23.140625" style="171" customWidth="1"/>
    <col min="16" max="16384" width="8.5703125" style="171"/>
  </cols>
  <sheetData>
    <row r="1" spans="1:17" ht="18.75" x14ac:dyDescent="0.2">
      <c r="A1" s="265"/>
      <c r="B1" s="266"/>
      <c r="C1" s="266"/>
      <c r="D1" s="267" t="s">
        <v>164</v>
      </c>
      <c r="E1" s="266"/>
      <c r="F1" s="266"/>
      <c r="G1" s="266"/>
      <c r="H1" s="266"/>
      <c r="I1" s="266"/>
      <c r="J1" s="266"/>
      <c r="K1" s="266"/>
      <c r="L1" s="266"/>
      <c r="M1" s="266"/>
      <c r="N1" s="268"/>
      <c r="O1" s="266"/>
    </row>
    <row r="2" spans="1:17" x14ac:dyDescent="0.25">
      <c r="A2" s="269"/>
      <c r="B2" s="270"/>
      <c r="C2" s="270"/>
      <c r="D2" s="270"/>
      <c r="E2" s="270"/>
      <c r="F2" s="270"/>
      <c r="G2" s="270"/>
      <c r="H2" s="270"/>
      <c r="I2" s="270"/>
      <c r="J2" s="270"/>
      <c r="K2" s="266"/>
      <c r="L2" s="173"/>
      <c r="M2" s="173"/>
      <c r="N2" s="300" t="s">
        <v>407</v>
      </c>
      <c r="O2" s="283" t="str">
        <f ca="1">P2&amp;"/PRD-MRF/"&amp;TEXT(O3,"MMYY")&amp;Q2</f>
        <v>95/PRD-MRF/0526</v>
      </c>
      <c r="P2" s="277">
        <v>95</v>
      </c>
      <c r="Q2" s="278"/>
    </row>
    <row r="3" spans="1:17" ht="31.5" x14ac:dyDescent="0.2">
      <c r="A3" s="269"/>
      <c r="B3" s="270"/>
      <c r="C3" s="270"/>
      <c r="D3" s="271" t="s">
        <v>166</v>
      </c>
      <c r="E3" s="276"/>
      <c r="F3" s="272"/>
      <c r="G3" s="272"/>
      <c r="H3" s="272"/>
      <c r="I3" s="272"/>
      <c r="J3" s="272"/>
      <c r="K3" s="273"/>
      <c r="L3" s="174"/>
      <c r="M3" s="174"/>
      <c r="N3" s="301" t="s">
        <v>348</v>
      </c>
      <c r="O3" s="291">
        <f ca="1">TODAY()</f>
        <v>46147</v>
      </c>
    </row>
    <row r="4" spans="1:17" ht="27.95" customHeight="1" x14ac:dyDescent="0.2">
      <c r="A4" s="266"/>
      <c r="B4" s="266"/>
      <c r="C4" s="266"/>
      <c r="D4" s="266"/>
      <c r="E4" s="266"/>
      <c r="F4" s="266"/>
      <c r="G4" s="266"/>
      <c r="H4" s="266"/>
      <c r="I4" s="266"/>
      <c r="J4" s="266"/>
      <c r="K4" s="266"/>
      <c r="L4" s="266"/>
      <c r="M4" s="266"/>
      <c r="N4" s="268"/>
      <c r="O4" s="266"/>
    </row>
    <row r="5" spans="1:17" x14ac:dyDescent="0.2">
      <c r="A5" s="341" t="s">
        <v>168</v>
      </c>
      <c r="B5" s="342"/>
      <c r="C5" s="342"/>
      <c r="D5" s="342"/>
      <c r="E5" s="342"/>
      <c r="F5" s="342"/>
      <c r="G5" s="342"/>
      <c r="H5" s="342"/>
      <c r="I5" s="342"/>
      <c r="J5" s="342"/>
      <c r="K5" s="342"/>
      <c r="L5" s="342"/>
      <c r="M5" s="342"/>
      <c r="N5" s="342"/>
      <c r="O5" s="342"/>
    </row>
    <row r="6" spans="1:17" x14ac:dyDescent="0.25">
      <c r="A6" s="339" t="s">
        <v>169</v>
      </c>
      <c r="B6" s="323"/>
      <c r="C6" s="323"/>
      <c r="D6" s="343" t="s">
        <v>343</v>
      </c>
      <c r="E6" s="344"/>
      <c r="F6" s="344"/>
      <c r="G6" s="344"/>
      <c r="H6" s="344"/>
      <c r="I6" s="344"/>
      <c r="J6" s="344"/>
      <c r="K6" s="344"/>
      <c r="L6" s="344"/>
      <c r="M6" s="344"/>
      <c r="N6" s="344"/>
      <c r="O6" s="345"/>
    </row>
    <row r="7" spans="1:17" x14ac:dyDescent="0.2">
      <c r="A7" s="339" t="s">
        <v>171</v>
      </c>
      <c r="B7" s="323"/>
      <c r="C7" s="323"/>
      <c r="D7" s="329" t="s">
        <v>470</v>
      </c>
      <c r="E7" s="328"/>
      <c r="F7" s="328"/>
      <c r="G7" s="328"/>
      <c r="H7" s="328"/>
      <c r="I7" s="328"/>
      <c r="J7" s="328"/>
      <c r="K7" s="328"/>
      <c r="L7" s="328"/>
      <c r="M7" s="328"/>
      <c r="N7" s="328"/>
      <c r="O7" s="328"/>
    </row>
    <row r="8" spans="1:17" x14ac:dyDescent="0.2">
      <c r="A8" s="339" t="s">
        <v>170</v>
      </c>
      <c r="B8" s="323"/>
      <c r="C8" s="323"/>
      <c r="D8" s="329" t="s">
        <v>471</v>
      </c>
      <c r="E8" s="328"/>
      <c r="F8" s="328"/>
      <c r="G8" s="328"/>
      <c r="H8" s="328"/>
      <c r="I8" s="328"/>
      <c r="J8" s="328"/>
      <c r="K8" s="328"/>
      <c r="L8" s="328"/>
      <c r="M8" s="328"/>
      <c r="N8" s="328"/>
      <c r="O8" s="328"/>
    </row>
    <row r="9" spans="1:17" x14ac:dyDescent="0.2">
      <c r="A9" s="339" t="s">
        <v>172</v>
      </c>
      <c r="B9" s="323"/>
      <c r="C9" s="323"/>
      <c r="D9" s="340" t="s">
        <v>472</v>
      </c>
      <c r="E9" s="328"/>
      <c r="F9" s="328"/>
      <c r="G9" s="328"/>
      <c r="H9" s="328"/>
      <c r="I9" s="328"/>
      <c r="J9" s="328"/>
      <c r="K9" s="328"/>
      <c r="L9" s="328"/>
      <c r="M9" s="328"/>
      <c r="N9" s="328"/>
      <c r="O9" s="328"/>
    </row>
    <row r="11" spans="1:17" x14ac:dyDescent="0.2">
      <c r="A11" s="333" t="s">
        <v>173</v>
      </c>
      <c r="B11" s="334"/>
      <c r="C11" s="334"/>
      <c r="D11" s="334"/>
      <c r="E11" s="334"/>
      <c r="F11" s="334"/>
      <c r="G11" s="334"/>
      <c r="H11" s="334"/>
      <c r="I11" s="334"/>
      <c r="J11" s="334"/>
      <c r="K11" s="334"/>
      <c r="L11" s="334"/>
      <c r="M11" s="334"/>
      <c r="N11" s="334"/>
      <c r="O11" s="334"/>
    </row>
    <row r="12" spans="1:17" s="281" customFormat="1" ht="47.25" x14ac:dyDescent="0.2">
      <c r="A12" s="175" t="s">
        <v>174</v>
      </c>
      <c r="B12" s="175" t="s">
        <v>175</v>
      </c>
      <c r="C12" s="175" t="s">
        <v>176</v>
      </c>
      <c r="D12" s="175" t="s">
        <v>177</v>
      </c>
      <c r="E12" s="175" t="s">
        <v>178</v>
      </c>
      <c r="F12" s="175" t="s">
        <v>179</v>
      </c>
      <c r="G12" s="175" t="s">
        <v>180</v>
      </c>
      <c r="H12" s="175" t="s">
        <v>181</v>
      </c>
      <c r="I12" s="175" t="s">
        <v>182</v>
      </c>
      <c r="J12" s="175" t="s">
        <v>183</v>
      </c>
      <c r="K12" s="175" t="s">
        <v>184</v>
      </c>
      <c r="L12" s="175" t="s">
        <v>185</v>
      </c>
      <c r="M12" s="175" t="s">
        <v>186</v>
      </c>
      <c r="N12" s="175" t="s">
        <v>187</v>
      </c>
      <c r="O12" s="175" t="s">
        <v>188</v>
      </c>
    </row>
    <row r="13" spans="1:17" ht="31.5" x14ac:dyDescent="0.25">
      <c r="A13" s="285">
        <v>1</v>
      </c>
      <c r="B13" s="306" t="s">
        <v>479</v>
      </c>
      <c r="C13" s="306"/>
      <c r="D13" s="306" t="s">
        <v>474</v>
      </c>
      <c r="E13" s="285" t="s">
        <v>323</v>
      </c>
      <c r="F13" s="309">
        <v>1000</v>
      </c>
      <c r="G13" s="309">
        <v>0</v>
      </c>
      <c r="H13" s="285"/>
      <c r="I13" s="319">
        <v>46147</v>
      </c>
      <c r="J13" s="309" t="s">
        <v>189</v>
      </c>
      <c r="K13" s="309" t="s">
        <v>195</v>
      </c>
      <c r="L13" s="288"/>
      <c r="M13" s="288" t="str">
        <f t="shared" ref="M13:M32" si="0">IF(AND(ISNUMBER(F13),ISNUMBER(L13)),F13*L13,"")</f>
        <v/>
      </c>
      <c r="N13" s="303"/>
      <c r="O13" s="312" t="s">
        <v>492</v>
      </c>
    </row>
    <row r="14" spans="1:17" ht="31.5" x14ac:dyDescent="0.2">
      <c r="A14" s="285">
        <v>2</v>
      </c>
      <c r="B14" s="306" t="s">
        <v>480</v>
      </c>
      <c r="C14" s="306"/>
      <c r="D14" s="306" t="s">
        <v>473</v>
      </c>
      <c r="E14" s="285" t="s">
        <v>323</v>
      </c>
      <c r="F14" s="310"/>
      <c r="G14" s="310"/>
      <c r="H14" s="285"/>
      <c r="I14" s="320"/>
      <c r="J14" s="310"/>
      <c r="K14" s="310"/>
      <c r="L14" s="288"/>
      <c r="M14" s="288"/>
      <c r="N14" s="285"/>
      <c r="O14" s="313"/>
    </row>
    <row r="15" spans="1:17" ht="31.5" x14ac:dyDescent="0.2">
      <c r="A15" s="285">
        <v>3</v>
      </c>
      <c r="B15" s="306" t="s">
        <v>482</v>
      </c>
      <c r="C15" s="306"/>
      <c r="D15" s="306" t="s">
        <v>474</v>
      </c>
      <c r="E15" s="285" t="s">
        <v>323</v>
      </c>
      <c r="F15" s="310"/>
      <c r="G15" s="310"/>
      <c r="H15" s="285"/>
      <c r="I15" s="320"/>
      <c r="J15" s="310"/>
      <c r="K15" s="310"/>
      <c r="L15" s="288"/>
      <c r="M15" s="288"/>
      <c r="N15" s="285"/>
      <c r="O15" s="313"/>
    </row>
    <row r="16" spans="1:17" ht="31.5" x14ac:dyDescent="0.2">
      <c r="A16" s="285">
        <v>4</v>
      </c>
      <c r="B16" s="306" t="s">
        <v>481</v>
      </c>
      <c r="C16" s="306"/>
      <c r="D16" s="306" t="s">
        <v>474</v>
      </c>
      <c r="E16" s="285" t="s">
        <v>323</v>
      </c>
      <c r="F16" s="310"/>
      <c r="G16" s="310"/>
      <c r="H16" s="285"/>
      <c r="I16" s="320"/>
      <c r="J16" s="310"/>
      <c r="K16" s="310"/>
      <c r="L16" s="288"/>
      <c r="M16" s="288"/>
      <c r="N16" s="285"/>
      <c r="O16" s="313"/>
    </row>
    <row r="17" spans="1:15" ht="31.5" x14ac:dyDescent="0.2">
      <c r="A17" s="285">
        <v>5</v>
      </c>
      <c r="B17" s="306" t="s">
        <v>483</v>
      </c>
      <c r="C17" s="306"/>
      <c r="D17" s="306" t="s">
        <v>474</v>
      </c>
      <c r="E17" s="285" t="s">
        <v>323</v>
      </c>
      <c r="F17" s="310"/>
      <c r="G17" s="310"/>
      <c r="H17" s="285"/>
      <c r="I17" s="320"/>
      <c r="J17" s="310"/>
      <c r="K17" s="310"/>
      <c r="L17" s="288"/>
      <c r="M17" s="288"/>
      <c r="N17" s="285"/>
      <c r="O17" s="313"/>
    </row>
    <row r="18" spans="1:15" ht="31.5" x14ac:dyDescent="0.2">
      <c r="A18" s="285">
        <v>6</v>
      </c>
      <c r="B18" s="306" t="s">
        <v>484</v>
      </c>
      <c r="C18" s="306"/>
      <c r="D18" s="306" t="s">
        <v>474</v>
      </c>
      <c r="E18" s="285" t="s">
        <v>323</v>
      </c>
      <c r="F18" s="310"/>
      <c r="G18" s="310"/>
      <c r="H18" s="285"/>
      <c r="I18" s="320"/>
      <c r="J18" s="310"/>
      <c r="K18" s="310"/>
      <c r="L18" s="288"/>
      <c r="M18" s="288"/>
      <c r="N18" s="285"/>
      <c r="O18" s="313"/>
    </row>
    <row r="19" spans="1:15" ht="31.5" x14ac:dyDescent="0.2">
      <c r="A19" s="285">
        <v>7</v>
      </c>
      <c r="B19" s="306" t="s">
        <v>485</v>
      </c>
      <c r="C19" s="306"/>
      <c r="D19" s="306" t="s">
        <v>474</v>
      </c>
      <c r="E19" s="285" t="s">
        <v>323</v>
      </c>
      <c r="F19" s="311"/>
      <c r="G19" s="311"/>
      <c r="H19" s="285"/>
      <c r="I19" s="320"/>
      <c r="J19" s="310"/>
      <c r="K19" s="310"/>
      <c r="L19" s="288"/>
      <c r="M19" s="288"/>
      <c r="N19" s="285"/>
      <c r="O19" s="313"/>
    </row>
    <row r="20" spans="1:15" x14ac:dyDescent="0.2">
      <c r="A20" s="285">
        <v>8</v>
      </c>
      <c r="B20" s="306" t="s">
        <v>486</v>
      </c>
      <c r="C20" s="306"/>
      <c r="D20" s="306" t="s">
        <v>475</v>
      </c>
      <c r="E20" s="285" t="s">
        <v>323</v>
      </c>
      <c r="F20" s="285">
        <v>1000</v>
      </c>
      <c r="G20" s="285">
        <v>20</v>
      </c>
      <c r="H20" s="285"/>
      <c r="I20" s="320"/>
      <c r="J20" s="310"/>
      <c r="K20" s="310"/>
      <c r="L20" s="288"/>
      <c r="M20" s="288" t="str">
        <f t="shared" si="0"/>
        <v/>
      </c>
      <c r="N20" s="285"/>
      <c r="O20" s="313"/>
    </row>
    <row r="21" spans="1:15" x14ac:dyDescent="0.2">
      <c r="A21" s="285">
        <v>9</v>
      </c>
      <c r="B21" s="306" t="s">
        <v>487</v>
      </c>
      <c r="C21" s="306"/>
      <c r="D21" s="306" t="s">
        <v>475</v>
      </c>
      <c r="E21" s="285" t="s">
        <v>323</v>
      </c>
      <c r="F21" s="285">
        <v>1000</v>
      </c>
      <c r="G21" s="304">
        <v>40</v>
      </c>
      <c r="H21" s="285"/>
      <c r="I21" s="320"/>
      <c r="J21" s="310"/>
      <c r="K21" s="310"/>
      <c r="L21" s="288"/>
      <c r="M21" s="288"/>
      <c r="N21" s="285"/>
      <c r="O21" s="313"/>
    </row>
    <row r="22" spans="1:15" ht="31.5" x14ac:dyDescent="0.2">
      <c r="A22" s="285">
        <v>10</v>
      </c>
      <c r="B22" s="306" t="s">
        <v>476</v>
      </c>
      <c r="C22" s="306"/>
      <c r="D22" s="306" t="s">
        <v>477</v>
      </c>
      <c r="E22" s="285" t="s">
        <v>263</v>
      </c>
      <c r="F22" s="307">
        <v>2</v>
      </c>
      <c r="G22" s="293">
        <v>0</v>
      </c>
      <c r="H22" s="308"/>
      <c r="I22" s="321"/>
      <c r="J22" s="311"/>
      <c r="K22" s="311"/>
      <c r="L22" s="288"/>
      <c r="M22" s="288" t="str">
        <f t="shared" si="0"/>
        <v/>
      </c>
      <c r="N22" s="285"/>
      <c r="O22" s="313"/>
    </row>
    <row r="23" spans="1:15" x14ac:dyDescent="0.2">
      <c r="A23" s="285">
        <v>11</v>
      </c>
      <c r="B23" s="306" t="s">
        <v>478</v>
      </c>
      <c r="C23" s="306"/>
      <c r="D23" s="306">
        <v>3.4</v>
      </c>
      <c r="E23" s="285" t="s">
        <v>323</v>
      </c>
      <c r="F23" s="307">
        <v>10</v>
      </c>
      <c r="G23" s="315">
        <v>2</v>
      </c>
      <c r="H23" s="308"/>
      <c r="I23" s="319" t="s">
        <v>491</v>
      </c>
      <c r="J23" s="309" t="s">
        <v>192</v>
      </c>
      <c r="K23" s="309" t="s">
        <v>193</v>
      </c>
      <c r="L23" s="288"/>
      <c r="M23" s="288" t="str">
        <f t="shared" si="0"/>
        <v/>
      </c>
      <c r="N23" s="285"/>
      <c r="O23" s="313"/>
    </row>
    <row r="24" spans="1:15" x14ac:dyDescent="0.2">
      <c r="A24" s="285">
        <v>12</v>
      </c>
      <c r="B24" s="306" t="s">
        <v>478</v>
      </c>
      <c r="C24" s="306"/>
      <c r="D24" s="306">
        <v>4.3</v>
      </c>
      <c r="E24" s="285" t="s">
        <v>323</v>
      </c>
      <c r="F24" s="307">
        <v>10</v>
      </c>
      <c r="G24" s="316"/>
      <c r="H24" s="308"/>
      <c r="I24" s="320"/>
      <c r="J24" s="310"/>
      <c r="K24" s="310"/>
      <c r="L24" s="288"/>
      <c r="M24" s="288" t="str">
        <f t="shared" si="0"/>
        <v/>
      </c>
      <c r="N24" s="285"/>
      <c r="O24" s="313"/>
    </row>
    <row r="25" spans="1:15" x14ac:dyDescent="0.2">
      <c r="A25" s="285">
        <v>13</v>
      </c>
      <c r="B25" s="306" t="s">
        <v>478</v>
      </c>
      <c r="C25" s="306"/>
      <c r="D25" s="306">
        <v>5.5</v>
      </c>
      <c r="E25" s="285" t="s">
        <v>323</v>
      </c>
      <c r="F25" s="307">
        <v>10</v>
      </c>
      <c r="G25" s="316"/>
      <c r="H25" s="308"/>
      <c r="I25" s="320"/>
      <c r="J25" s="310"/>
      <c r="K25" s="310"/>
      <c r="L25" s="288"/>
      <c r="M25" s="288" t="str">
        <f t="shared" si="0"/>
        <v/>
      </c>
      <c r="N25" s="285"/>
      <c r="O25" s="313"/>
    </row>
    <row r="26" spans="1:15" x14ac:dyDescent="0.2">
      <c r="A26" s="285">
        <v>14</v>
      </c>
      <c r="B26" s="306" t="s">
        <v>478</v>
      </c>
      <c r="C26" s="306"/>
      <c r="D26" s="306">
        <v>10</v>
      </c>
      <c r="E26" s="285" t="s">
        <v>323</v>
      </c>
      <c r="F26" s="307">
        <v>10</v>
      </c>
      <c r="G26" s="317"/>
      <c r="H26" s="308"/>
      <c r="I26" s="320"/>
      <c r="J26" s="310"/>
      <c r="K26" s="310"/>
      <c r="L26" s="288"/>
      <c r="M26" s="288" t="str">
        <f t="shared" si="0"/>
        <v/>
      </c>
      <c r="N26" s="285"/>
      <c r="O26" s="313"/>
    </row>
    <row r="27" spans="1:15" x14ac:dyDescent="0.2">
      <c r="A27" s="285">
        <v>15</v>
      </c>
      <c r="B27" s="306" t="s">
        <v>488</v>
      </c>
      <c r="C27" s="306"/>
      <c r="D27" s="306" t="s">
        <v>489</v>
      </c>
      <c r="E27" s="285" t="s">
        <v>323</v>
      </c>
      <c r="F27" s="307">
        <v>10</v>
      </c>
      <c r="G27" s="318">
        <v>0</v>
      </c>
      <c r="H27" s="308"/>
      <c r="I27" s="320"/>
      <c r="J27" s="310"/>
      <c r="K27" s="310"/>
      <c r="L27" s="288"/>
      <c r="M27" s="288" t="str">
        <f t="shared" si="0"/>
        <v/>
      </c>
      <c r="N27" s="285"/>
      <c r="O27" s="313"/>
    </row>
    <row r="28" spans="1:15" x14ac:dyDescent="0.2">
      <c r="A28" s="285">
        <v>16</v>
      </c>
      <c r="B28" s="306" t="s">
        <v>488</v>
      </c>
      <c r="C28" s="306"/>
      <c r="D28" s="306" t="s">
        <v>490</v>
      </c>
      <c r="E28" s="285" t="s">
        <v>323</v>
      </c>
      <c r="F28" s="307">
        <v>10</v>
      </c>
      <c r="G28" s="318"/>
      <c r="H28" s="308"/>
      <c r="I28" s="320"/>
      <c r="J28" s="310"/>
      <c r="K28" s="310"/>
      <c r="L28" s="288"/>
      <c r="M28" s="288" t="str">
        <f t="shared" si="0"/>
        <v/>
      </c>
      <c r="N28" s="285"/>
      <c r="O28" s="314"/>
    </row>
    <row r="29" spans="1:15" ht="31.5" x14ac:dyDescent="0.2">
      <c r="A29" s="285">
        <v>17</v>
      </c>
      <c r="B29" s="286" t="s">
        <v>493</v>
      </c>
      <c r="C29" s="286"/>
      <c r="D29" s="286" t="s">
        <v>496</v>
      </c>
      <c r="E29" s="285" t="s">
        <v>323</v>
      </c>
      <c r="F29" s="307">
        <v>1000</v>
      </c>
      <c r="G29" s="318"/>
      <c r="H29" s="308"/>
      <c r="I29" s="320"/>
      <c r="J29" s="310"/>
      <c r="K29" s="310"/>
      <c r="L29" s="288"/>
      <c r="M29" s="288" t="str">
        <f t="shared" si="0"/>
        <v/>
      </c>
      <c r="N29" s="285"/>
      <c r="O29" s="286"/>
    </row>
    <row r="30" spans="1:15" x14ac:dyDescent="0.2">
      <c r="A30" s="285">
        <v>18</v>
      </c>
      <c r="B30" s="286" t="s">
        <v>495</v>
      </c>
      <c r="C30" s="286"/>
      <c r="D30" s="286" t="s">
        <v>497</v>
      </c>
      <c r="E30" s="285" t="s">
        <v>323</v>
      </c>
      <c r="F30" s="307">
        <v>500</v>
      </c>
      <c r="G30" s="318"/>
      <c r="H30" s="308"/>
      <c r="I30" s="320"/>
      <c r="J30" s="310"/>
      <c r="K30" s="310"/>
      <c r="L30" s="288"/>
      <c r="M30" s="288"/>
      <c r="N30" s="285"/>
      <c r="O30" s="286"/>
    </row>
    <row r="31" spans="1:15" x14ac:dyDescent="0.2">
      <c r="A31" s="285">
        <v>19</v>
      </c>
      <c r="B31" s="286" t="s">
        <v>494</v>
      </c>
      <c r="C31" s="286"/>
      <c r="D31" s="286" t="s">
        <v>498</v>
      </c>
      <c r="E31" s="285" t="s">
        <v>323</v>
      </c>
      <c r="F31" s="307">
        <v>500</v>
      </c>
      <c r="G31" s="318"/>
      <c r="H31" s="308"/>
      <c r="I31" s="321"/>
      <c r="J31" s="311"/>
      <c r="K31" s="311"/>
      <c r="L31" s="288"/>
      <c r="M31" s="288"/>
      <c r="N31" s="285"/>
      <c r="O31" s="286"/>
    </row>
    <row r="32" spans="1:15" x14ac:dyDescent="0.2">
      <c r="A32" s="285">
        <v>20</v>
      </c>
      <c r="B32" s="286"/>
      <c r="C32" s="286"/>
      <c r="D32" s="286"/>
      <c r="E32" s="285"/>
      <c r="F32" s="285"/>
      <c r="G32" s="305"/>
      <c r="H32" s="285"/>
      <c r="I32" s="287"/>
      <c r="J32" s="285"/>
      <c r="K32" s="285"/>
      <c r="L32" s="288"/>
      <c r="M32" s="288" t="str">
        <f t="shared" si="0"/>
        <v/>
      </c>
      <c r="N32" s="285"/>
      <c r="O32" s="286"/>
    </row>
    <row r="33" spans="1:15" x14ac:dyDescent="0.2">
      <c r="A33" s="266"/>
      <c r="B33" s="266"/>
      <c r="C33" s="266"/>
      <c r="D33" s="266"/>
      <c r="E33" s="266"/>
      <c r="F33" s="266"/>
      <c r="G33" s="266"/>
      <c r="H33" s="266"/>
      <c r="I33" s="266"/>
      <c r="J33" s="266"/>
      <c r="K33" s="266"/>
      <c r="L33" s="266"/>
      <c r="M33" s="266"/>
      <c r="N33" s="268"/>
      <c r="O33" s="266"/>
    </row>
    <row r="34" spans="1:15" x14ac:dyDescent="0.2">
      <c r="A34" s="333" t="s">
        <v>196</v>
      </c>
      <c r="B34" s="334"/>
      <c r="C34" s="334"/>
      <c r="D34" s="334"/>
      <c r="E34" s="334"/>
      <c r="F34" s="334"/>
      <c r="G34" s="334"/>
      <c r="H34" s="334"/>
      <c r="I34" s="334"/>
      <c r="J34" s="334"/>
      <c r="K34" s="334"/>
      <c r="L34" s="334"/>
      <c r="M34" s="334"/>
      <c r="N34" s="334"/>
      <c r="O34" s="334"/>
    </row>
    <row r="35" spans="1:15" x14ac:dyDescent="0.2">
      <c r="A35" s="335" t="s">
        <v>197</v>
      </c>
      <c r="B35" s="334"/>
      <c r="C35" s="334"/>
      <c r="D35" s="335" t="s">
        <v>198</v>
      </c>
      <c r="E35" s="334"/>
      <c r="F35" s="334"/>
      <c r="G35" s="335" t="s">
        <v>199</v>
      </c>
      <c r="H35" s="335"/>
      <c r="I35" s="334"/>
      <c r="J35" s="334"/>
      <c r="K35" s="334"/>
      <c r="L35" s="335" t="s">
        <v>188</v>
      </c>
      <c r="M35" s="334"/>
      <c r="N35" s="334"/>
      <c r="O35" s="334"/>
    </row>
    <row r="36" spans="1:15" ht="27" customHeight="1" x14ac:dyDescent="0.2">
      <c r="A36" s="322" t="s">
        <v>200</v>
      </c>
      <c r="B36" s="323"/>
      <c r="C36" s="323"/>
      <c r="D36" s="327" t="s">
        <v>471</v>
      </c>
      <c r="E36" s="328"/>
      <c r="F36" s="328"/>
      <c r="G36" s="327"/>
      <c r="H36" s="327"/>
      <c r="I36" s="328"/>
      <c r="J36" s="328"/>
      <c r="K36" s="328"/>
      <c r="L36" s="329"/>
      <c r="M36" s="328"/>
      <c r="N36" s="328"/>
      <c r="O36" s="328"/>
    </row>
    <row r="37" spans="1:15" ht="27" customHeight="1" x14ac:dyDescent="0.2">
      <c r="A37" s="322" t="s">
        <v>201</v>
      </c>
      <c r="B37" s="323"/>
      <c r="C37" s="323"/>
      <c r="D37" s="327" t="s">
        <v>471</v>
      </c>
      <c r="E37" s="328"/>
      <c r="F37" s="328"/>
      <c r="G37" s="327"/>
      <c r="H37" s="327"/>
      <c r="I37" s="328"/>
      <c r="J37" s="328"/>
      <c r="K37" s="328"/>
      <c r="L37" s="329"/>
      <c r="M37" s="328"/>
      <c r="N37" s="328"/>
      <c r="O37" s="328"/>
    </row>
    <row r="38" spans="1:15" ht="27" customHeight="1" x14ac:dyDescent="0.2">
      <c r="A38" s="322" t="s">
        <v>202</v>
      </c>
      <c r="B38" s="323"/>
      <c r="C38" s="323"/>
      <c r="D38" s="327"/>
      <c r="E38" s="328"/>
      <c r="F38" s="328"/>
      <c r="G38" s="327"/>
      <c r="H38" s="327"/>
      <c r="I38" s="328"/>
      <c r="J38" s="328"/>
      <c r="K38" s="328"/>
      <c r="L38" s="329"/>
      <c r="M38" s="328"/>
      <c r="N38" s="328"/>
      <c r="O38" s="328"/>
    </row>
    <row r="39" spans="1:15" ht="27" customHeight="1" x14ac:dyDescent="0.2">
      <c r="A39" s="322" t="s">
        <v>203</v>
      </c>
      <c r="B39" s="323"/>
      <c r="C39" s="323"/>
      <c r="D39" s="327"/>
      <c r="E39" s="328"/>
      <c r="F39" s="328"/>
      <c r="G39" s="327"/>
      <c r="H39" s="327"/>
      <c r="I39" s="328"/>
      <c r="J39" s="328"/>
      <c r="K39" s="328"/>
      <c r="L39" s="329"/>
      <c r="M39" s="328"/>
      <c r="N39" s="328"/>
      <c r="O39" s="328"/>
    </row>
    <row r="40" spans="1:15" ht="27" customHeight="1" x14ac:dyDescent="0.2">
      <c r="A40" s="322" t="s">
        <v>204</v>
      </c>
      <c r="B40" s="323"/>
      <c r="C40" s="323"/>
      <c r="D40" s="327"/>
      <c r="E40" s="328"/>
      <c r="F40" s="328"/>
      <c r="G40" s="327"/>
      <c r="H40" s="327"/>
      <c r="I40" s="328"/>
      <c r="J40" s="328"/>
      <c r="K40" s="328"/>
      <c r="L40" s="329"/>
      <c r="M40" s="328"/>
      <c r="N40" s="328"/>
      <c r="O40" s="328"/>
    </row>
    <row r="41" spans="1:15" hidden="1" x14ac:dyDescent="0.2"/>
    <row r="42" spans="1:15" hidden="1" x14ac:dyDescent="0.2">
      <c r="A42" s="333" t="s">
        <v>205</v>
      </c>
      <c r="B42" s="334"/>
      <c r="C42" s="334"/>
      <c r="D42" s="334"/>
      <c r="E42" s="334"/>
      <c r="F42" s="334"/>
      <c r="G42" s="334"/>
      <c r="H42" s="334"/>
      <c r="I42" s="334"/>
      <c r="J42" s="334"/>
      <c r="K42" s="334"/>
      <c r="L42" s="334"/>
      <c r="M42" s="334"/>
      <c r="N42" s="334"/>
      <c r="O42" s="334"/>
    </row>
    <row r="43" spans="1:15" hidden="1" x14ac:dyDescent="0.2">
      <c r="A43" s="335" t="s">
        <v>206</v>
      </c>
      <c r="B43" s="334"/>
      <c r="C43" s="334"/>
      <c r="D43" s="334"/>
      <c r="E43" s="336" t="s">
        <v>207</v>
      </c>
      <c r="F43" s="337"/>
      <c r="G43" s="337"/>
      <c r="H43" s="338"/>
      <c r="I43" s="335" t="s">
        <v>208</v>
      </c>
      <c r="J43" s="334"/>
      <c r="K43" s="334"/>
      <c r="L43" s="335" t="s">
        <v>188</v>
      </c>
      <c r="M43" s="334"/>
      <c r="N43" s="334"/>
      <c r="O43" s="334"/>
    </row>
    <row r="44" spans="1:15" hidden="1" x14ac:dyDescent="0.2">
      <c r="A44" s="322" t="s">
        <v>209</v>
      </c>
      <c r="B44" s="323"/>
      <c r="C44" s="323"/>
      <c r="D44" s="323"/>
      <c r="E44" s="324"/>
      <c r="F44" s="325"/>
      <c r="G44" s="325"/>
      <c r="H44" s="326"/>
      <c r="I44" s="327"/>
      <c r="J44" s="328"/>
      <c r="K44" s="328"/>
      <c r="L44" s="329"/>
      <c r="M44" s="328"/>
      <c r="N44" s="328"/>
      <c r="O44" s="328"/>
    </row>
    <row r="45" spans="1:15" hidden="1" x14ac:dyDescent="0.2">
      <c r="A45" s="322" t="s">
        <v>210</v>
      </c>
      <c r="B45" s="323"/>
      <c r="C45" s="323"/>
      <c r="D45" s="323"/>
      <c r="E45" s="324"/>
      <c r="F45" s="325"/>
      <c r="G45" s="325"/>
      <c r="H45" s="326"/>
      <c r="I45" s="327"/>
      <c r="J45" s="328"/>
      <c r="K45" s="328"/>
      <c r="L45" s="329"/>
      <c r="M45" s="328"/>
      <c r="N45" s="328"/>
      <c r="O45" s="328"/>
    </row>
    <row r="46" spans="1:15" hidden="1" x14ac:dyDescent="0.2">
      <c r="A46" s="322" t="s">
        <v>211</v>
      </c>
      <c r="B46" s="323"/>
      <c r="C46" s="323"/>
      <c r="D46" s="323"/>
      <c r="E46" s="324"/>
      <c r="F46" s="325"/>
      <c r="G46" s="325"/>
      <c r="H46" s="326"/>
      <c r="I46" s="327"/>
      <c r="J46" s="328"/>
      <c r="K46" s="328"/>
      <c r="L46" s="329"/>
      <c r="M46" s="328"/>
      <c r="N46" s="328"/>
      <c r="O46" s="328"/>
    </row>
    <row r="47" spans="1:15" hidden="1" x14ac:dyDescent="0.2">
      <c r="A47" s="322" t="s">
        <v>212</v>
      </c>
      <c r="B47" s="323"/>
      <c r="C47" s="323"/>
      <c r="D47" s="323"/>
      <c r="E47" s="324"/>
      <c r="F47" s="325"/>
      <c r="G47" s="325"/>
      <c r="H47" s="326"/>
      <c r="I47" s="327"/>
      <c r="J47" s="328"/>
      <c r="K47" s="328"/>
      <c r="L47" s="329"/>
      <c r="M47" s="328"/>
      <c r="N47" s="328"/>
      <c r="O47" s="328"/>
    </row>
    <row r="48" spans="1:15" hidden="1" x14ac:dyDescent="0.2">
      <c r="A48" s="322" t="s">
        <v>213</v>
      </c>
      <c r="B48" s="323"/>
      <c r="C48" s="323"/>
      <c r="D48" s="323"/>
      <c r="E48" s="324"/>
      <c r="F48" s="325"/>
      <c r="G48" s="325"/>
      <c r="H48" s="326"/>
      <c r="I48" s="327"/>
      <c r="J48" s="328"/>
      <c r="K48" s="328"/>
      <c r="L48" s="329"/>
      <c r="M48" s="328"/>
      <c r="N48" s="328"/>
      <c r="O48" s="328"/>
    </row>
    <row r="49" spans="1:15" hidden="1" x14ac:dyDescent="0.2"/>
    <row r="50" spans="1:15" hidden="1" x14ac:dyDescent="0.2">
      <c r="A50" s="330" t="s">
        <v>214</v>
      </c>
      <c r="B50" s="331"/>
      <c r="C50" s="331"/>
      <c r="D50" s="331"/>
      <c r="E50" s="331"/>
      <c r="F50" s="331"/>
      <c r="G50" s="331"/>
      <c r="H50" s="331"/>
      <c r="I50" s="331"/>
      <c r="J50" s="331"/>
      <c r="K50" s="331"/>
      <c r="L50" s="331"/>
      <c r="M50" s="331"/>
      <c r="N50" s="331"/>
      <c r="O50" s="331"/>
    </row>
    <row r="51" spans="1:15" hidden="1" x14ac:dyDescent="0.2">
      <c r="A51" s="332" t="s">
        <v>215</v>
      </c>
      <c r="B51" s="328"/>
      <c r="C51" s="328"/>
      <c r="D51" s="328"/>
      <c r="E51" s="328"/>
      <c r="F51" s="328"/>
      <c r="G51" s="328"/>
      <c r="H51" s="328"/>
      <c r="I51" s="328"/>
      <c r="J51" s="328"/>
      <c r="K51" s="328"/>
      <c r="L51" s="328"/>
      <c r="M51" s="328"/>
      <c r="N51" s="328"/>
      <c r="O51" s="328"/>
    </row>
    <row r="52" spans="1:15" hidden="1" x14ac:dyDescent="0.2">
      <c r="A52" s="328"/>
      <c r="B52" s="328"/>
      <c r="C52" s="328"/>
      <c r="D52" s="328"/>
      <c r="E52" s="328"/>
      <c r="F52" s="328"/>
      <c r="G52" s="328"/>
      <c r="H52" s="328"/>
      <c r="I52" s="328"/>
      <c r="J52" s="328"/>
      <c r="K52" s="328"/>
      <c r="L52" s="328"/>
      <c r="M52" s="328"/>
      <c r="N52" s="328"/>
      <c r="O52" s="328"/>
    </row>
    <row r="53" spans="1:15" hidden="1" x14ac:dyDescent="0.2">
      <c r="A53" s="328"/>
      <c r="B53" s="328"/>
      <c r="C53" s="328"/>
      <c r="D53" s="328"/>
      <c r="E53" s="328"/>
      <c r="F53" s="328"/>
      <c r="G53" s="328"/>
      <c r="H53" s="328"/>
      <c r="I53" s="328"/>
      <c r="J53" s="328"/>
      <c r="K53" s="328"/>
      <c r="L53" s="328"/>
      <c r="M53" s="328"/>
      <c r="N53" s="328"/>
      <c r="O53" s="328"/>
    </row>
    <row r="54" spans="1:15" ht="6.4" hidden="1" customHeight="1" x14ac:dyDescent="0.2">
      <c r="A54" s="328"/>
      <c r="B54" s="328"/>
      <c r="C54" s="328"/>
      <c r="D54" s="328"/>
      <c r="E54" s="328"/>
      <c r="F54" s="328"/>
      <c r="G54" s="328"/>
      <c r="H54" s="328"/>
      <c r="I54" s="328"/>
      <c r="J54" s="328"/>
      <c r="K54" s="328"/>
      <c r="L54" s="328"/>
      <c r="M54" s="328"/>
      <c r="N54" s="328"/>
      <c r="O54" s="328"/>
    </row>
    <row r="55" spans="1:15" x14ac:dyDescent="0.2">
      <c r="J55" s="282" t="s">
        <v>216</v>
      </c>
      <c r="K55" s="182"/>
      <c r="L55" s="182"/>
      <c r="M55" s="182"/>
      <c r="N55" s="182"/>
      <c r="O55" s="182"/>
    </row>
  </sheetData>
  <mergeCells count="73">
    <mergeCell ref="A8:C8"/>
    <mergeCell ref="D8:O8"/>
    <mergeCell ref="A5:O5"/>
    <mergeCell ref="A6:C6"/>
    <mergeCell ref="D6:O6"/>
    <mergeCell ref="A7:C7"/>
    <mergeCell ref="D7:O7"/>
    <mergeCell ref="A9:C9"/>
    <mergeCell ref="D9:O9"/>
    <mergeCell ref="A11:O11"/>
    <mergeCell ref="A34:O34"/>
    <mergeCell ref="A35:C35"/>
    <mergeCell ref="D35:F35"/>
    <mergeCell ref="G35:K35"/>
    <mergeCell ref="L35:O35"/>
    <mergeCell ref="F13:F19"/>
    <mergeCell ref="G13:G19"/>
    <mergeCell ref="A36:C36"/>
    <mergeCell ref="D36:F36"/>
    <mergeCell ref="G36:K36"/>
    <mergeCell ref="L36:O36"/>
    <mergeCell ref="A37:C37"/>
    <mergeCell ref="D37:F37"/>
    <mergeCell ref="G37:K37"/>
    <mergeCell ref="L37:O37"/>
    <mergeCell ref="A43:D43"/>
    <mergeCell ref="E43:H43"/>
    <mergeCell ref="I43:K43"/>
    <mergeCell ref="L43:O43"/>
    <mergeCell ref="A38:C38"/>
    <mergeCell ref="D38:F38"/>
    <mergeCell ref="G38:K38"/>
    <mergeCell ref="L38:O38"/>
    <mergeCell ref="A39:C39"/>
    <mergeCell ref="D39:F39"/>
    <mergeCell ref="G39:K39"/>
    <mergeCell ref="L39:O39"/>
    <mergeCell ref="A40:C40"/>
    <mergeCell ref="D40:F40"/>
    <mergeCell ref="G40:K40"/>
    <mergeCell ref="L40:O40"/>
    <mergeCell ref="A42:O42"/>
    <mergeCell ref="A44:D44"/>
    <mergeCell ref="E44:H44"/>
    <mergeCell ref="I44:K44"/>
    <mergeCell ref="L44:O44"/>
    <mergeCell ref="A45:D45"/>
    <mergeCell ref="E45:H45"/>
    <mergeCell ref="I45:K45"/>
    <mergeCell ref="L45:O45"/>
    <mergeCell ref="A51:O54"/>
    <mergeCell ref="A46:D46"/>
    <mergeCell ref="E46:H46"/>
    <mergeCell ref="I46:K46"/>
    <mergeCell ref="L46:O46"/>
    <mergeCell ref="A47:D47"/>
    <mergeCell ref="E47:H47"/>
    <mergeCell ref="I47:K47"/>
    <mergeCell ref="L47:O47"/>
    <mergeCell ref="A48:D48"/>
    <mergeCell ref="E48:H48"/>
    <mergeCell ref="I48:K48"/>
    <mergeCell ref="L48:O48"/>
    <mergeCell ref="A50:O50"/>
    <mergeCell ref="J13:J22"/>
    <mergeCell ref="K13:K22"/>
    <mergeCell ref="O13:O28"/>
    <mergeCell ref="G23:G26"/>
    <mergeCell ref="G27:G31"/>
    <mergeCell ref="I23:I31"/>
    <mergeCell ref="J23:J31"/>
    <mergeCell ref="K23:K31"/>
    <mergeCell ref="I13:I22"/>
  </mergeCells>
  <conditionalFormatting sqref="A13:M13 O13 B14:E19 H14:H19 L14:N22 A14:A32 B20:H22 B23:F31 H23:H31 L24:N28 L29:O31 B32:O32">
    <cfRule type="expression" dxfId="7" priority="5">
      <formula>$J13="Khẩn"</formula>
    </cfRule>
    <cfRule type="expression" dxfId="6" priority="6">
      <formula>$J13="Bình thường"</formula>
    </cfRule>
    <cfRule type="expression" dxfId="5" priority="7">
      <formula>$J13="Dự phòng"</formula>
    </cfRule>
    <cfRule type="expression" dxfId="4" priority="8">
      <formula>AND($F13&gt;$G13,$F13&gt;0)</formula>
    </cfRule>
  </conditionalFormatting>
  <conditionalFormatting sqref="I23:N23">
    <cfRule type="expression" dxfId="3" priority="1">
      <formula>$J23="Khẩn"</formula>
    </cfRule>
    <cfRule type="expression" dxfId="2" priority="2">
      <formula>$J23="Bình thường"</formula>
    </cfRule>
    <cfRule type="expression" dxfId="1" priority="3">
      <formula>$J23="Dự phòng"</formula>
    </cfRule>
    <cfRule type="expression" dxfId="0" priority="4">
      <formula>AND($F23&gt;$G23,$F23&gt;0)</formula>
    </cfRule>
  </conditionalFormatting>
  <dataValidations count="2">
    <dataValidation type="list" allowBlank="1" showInputMessage="1" showErrorMessage="1" sqref="J23 J13 J32" xr:uid="{1D77E0C2-D4CE-4905-9319-313F0D0C02A6}">
      <formula1>"Khẩn,Bình thường,Dự phòng"</formula1>
    </dataValidation>
    <dataValidation type="list" allowBlank="1" showInputMessage="1" showErrorMessage="1" sqref="K13 K23 K32" xr:uid="{4FA4B275-DC80-49FA-8218-160919643560}">
      <formula1>"CCDC,NPL,Tiêu hao"</formula1>
    </dataValidation>
  </dataValidations>
  <pageMargins left="0.25" right="0.25" top="0.25" bottom="0.25" header="0.3" footer="0.3"/>
  <pageSetup paperSize="9" scale="87"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722E27F-5055-4F18-B0EF-C2C4257DD6AF}">
          <x14:formula1>
            <xm:f>DATA!$B:$B</xm:f>
          </x14:formula1>
          <xm:sqref>E13:E32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27"/>
  <sheetViews>
    <sheetView zoomScaleNormal="100" workbookViewId="0">
      <selection activeCell="F14" sqref="F14"/>
    </sheetView>
  </sheetViews>
  <sheetFormatPr defaultRowHeight="12.75" x14ac:dyDescent="0.2"/>
  <cols>
    <col min="1" max="1" width="43.7109375" customWidth="1"/>
    <col min="2" max="2" width="50.140625" customWidth="1"/>
  </cols>
  <sheetData>
    <row r="1" spans="1:2" ht="15.75" x14ac:dyDescent="0.25">
      <c r="A1" s="99" t="s">
        <v>20</v>
      </c>
    </row>
    <row r="2" spans="1:2" ht="56.25" customHeight="1" x14ac:dyDescent="0.2">
      <c r="A2" s="432" t="s">
        <v>21</v>
      </c>
      <c r="B2" s="433"/>
    </row>
    <row r="4" spans="1:2" ht="16.5" thickBot="1" x14ac:dyDescent="0.3">
      <c r="A4" s="6" t="s">
        <v>22</v>
      </c>
      <c r="B4" s="6" t="s">
        <v>23</v>
      </c>
    </row>
    <row r="5" spans="1:2" ht="39" thickTop="1" x14ac:dyDescent="0.2">
      <c r="A5" s="12" t="s">
        <v>24</v>
      </c>
      <c r="B5" s="34" t="s">
        <v>25</v>
      </c>
    </row>
    <row r="6" spans="1:2" x14ac:dyDescent="0.2">
      <c r="A6" s="12" t="s">
        <v>26</v>
      </c>
      <c r="B6" s="7" t="s">
        <v>27</v>
      </c>
    </row>
    <row r="7" spans="1:2" ht="38.25" x14ac:dyDescent="0.2">
      <c r="A7" s="12" t="s">
        <v>28</v>
      </c>
      <c r="B7" s="7" t="s">
        <v>29</v>
      </c>
    </row>
    <row r="8" spans="1:2" ht="38.25" x14ac:dyDescent="0.2">
      <c r="A8" s="12" t="s">
        <v>30</v>
      </c>
      <c r="B8" s="7" t="s">
        <v>31</v>
      </c>
    </row>
    <row r="9" spans="1:2" ht="25.5" x14ac:dyDescent="0.2">
      <c r="A9" s="12" t="s">
        <v>32</v>
      </c>
      <c r="B9" s="7" t="s">
        <v>33</v>
      </c>
    </row>
    <row r="10" spans="1:2" x14ac:dyDescent="0.2">
      <c r="A10" s="12" t="s">
        <v>34</v>
      </c>
      <c r="B10" s="7" t="s">
        <v>35</v>
      </c>
    </row>
    <row r="11" spans="1:2" ht="25.5" x14ac:dyDescent="0.2">
      <c r="A11" s="12" t="s">
        <v>36</v>
      </c>
      <c r="B11" s="7" t="s">
        <v>37</v>
      </c>
    </row>
    <row r="12" spans="1:2" ht="25.5" x14ac:dyDescent="0.2">
      <c r="A12" s="12" t="s">
        <v>38</v>
      </c>
      <c r="B12" s="34" t="s">
        <v>39</v>
      </c>
    </row>
    <row r="13" spans="1:2" ht="25.5" x14ac:dyDescent="0.2">
      <c r="A13" s="12" t="s">
        <v>40</v>
      </c>
      <c r="B13" s="7" t="s">
        <v>41</v>
      </c>
    </row>
    <row r="14" spans="1:2" ht="25.5" x14ac:dyDescent="0.2">
      <c r="A14" s="12" t="s">
        <v>42</v>
      </c>
      <c r="B14" s="7" t="s">
        <v>43</v>
      </c>
    </row>
    <row r="15" spans="1:2" ht="38.25" x14ac:dyDescent="0.2">
      <c r="A15" s="13" t="s">
        <v>44</v>
      </c>
      <c r="B15" s="7" t="s">
        <v>45</v>
      </c>
    </row>
    <row r="16" spans="1:2" x14ac:dyDescent="0.2">
      <c r="A16" s="13" t="s">
        <v>46</v>
      </c>
      <c r="B16" s="33" t="s">
        <v>47</v>
      </c>
    </row>
    <row r="17" spans="1:2" ht="76.5" x14ac:dyDescent="0.2">
      <c r="A17" s="13" t="s">
        <v>48</v>
      </c>
      <c r="B17" s="8" t="s">
        <v>49</v>
      </c>
    </row>
    <row r="18" spans="1:2" ht="25.5" x14ac:dyDescent="0.2">
      <c r="A18" s="14" t="s">
        <v>50</v>
      </c>
      <c r="B18" s="8" t="s">
        <v>51</v>
      </c>
    </row>
    <row r="19" spans="1:2" x14ac:dyDescent="0.2">
      <c r="A19" s="14" t="s">
        <v>52</v>
      </c>
      <c r="B19" s="8" t="s">
        <v>53</v>
      </c>
    </row>
    <row r="20" spans="1:2" x14ac:dyDescent="0.2">
      <c r="A20" s="13" t="s">
        <v>11</v>
      </c>
      <c r="B20" s="8" t="s">
        <v>54</v>
      </c>
    </row>
    <row r="21" spans="1:2" x14ac:dyDescent="0.2">
      <c r="A21" s="13" t="s">
        <v>55</v>
      </c>
      <c r="B21" s="8" t="s">
        <v>56</v>
      </c>
    </row>
    <row r="22" spans="1:2" ht="25.5" x14ac:dyDescent="0.2">
      <c r="A22" s="13" t="s">
        <v>13</v>
      </c>
      <c r="B22" s="8" t="s">
        <v>57</v>
      </c>
    </row>
    <row r="23" spans="1:2" x14ac:dyDescent="0.2">
      <c r="A23" s="13" t="s">
        <v>58</v>
      </c>
      <c r="B23" s="8" t="s">
        <v>59</v>
      </c>
    </row>
    <row r="24" spans="1:2" ht="102" x14ac:dyDescent="0.2">
      <c r="A24" s="13" t="s">
        <v>60</v>
      </c>
      <c r="B24" s="33" t="s">
        <v>61</v>
      </c>
    </row>
    <row r="25" spans="1:2" ht="38.25" x14ac:dyDescent="0.2">
      <c r="A25" s="13" t="s">
        <v>62</v>
      </c>
      <c r="B25" s="33" t="s">
        <v>63</v>
      </c>
    </row>
    <row r="27" spans="1:2" ht="25.5" customHeight="1" x14ac:dyDescent="0.2">
      <c r="A27" s="431" t="s">
        <v>64</v>
      </c>
      <c r="B27" s="431"/>
    </row>
  </sheetData>
  <mergeCells count="2">
    <mergeCell ref="A27:B27"/>
    <mergeCell ref="A2:B2"/>
  </mergeCells>
  <phoneticPr fontId="7" type="noConversion"/>
  <pageMargins left="0.75" right="0.75" top="1" bottom="1" header="0.5" footer="0.5"/>
  <pageSetup paperSize="9" scale="93" orientation="portrait" r:id="rId1"/>
  <headerFooter alignWithMargins="0">
    <oddHeader>&amp;C&amp;14&amp;F</oddHeader>
    <oddFooter>&amp;C&amp;F</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I52"/>
  <sheetViews>
    <sheetView zoomScale="90" zoomScaleNormal="90" zoomScaleSheetLayoutView="100" workbookViewId="0">
      <selection activeCell="L16" sqref="L16"/>
    </sheetView>
  </sheetViews>
  <sheetFormatPr defaultColWidth="9.140625" defaultRowHeight="12.75" x14ac:dyDescent="0.2"/>
  <cols>
    <col min="1" max="1" width="9.7109375" style="1" customWidth="1"/>
    <col min="2" max="2" width="43.42578125" style="1" customWidth="1"/>
    <col min="3" max="3" width="11.5703125" style="1" customWidth="1"/>
    <col min="4" max="4" width="12.28515625" style="1" customWidth="1"/>
    <col min="5" max="5" width="12" style="1" customWidth="1"/>
    <col min="6" max="6" width="10.7109375" style="1" customWidth="1"/>
    <col min="7" max="7" width="12" style="1" customWidth="1"/>
    <col min="8" max="9" width="12.140625" style="1" customWidth="1"/>
    <col min="10" max="10" width="4.7109375" style="1" customWidth="1"/>
    <col min="11" max="16384" width="9.140625" style="1"/>
  </cols>
  <sheetData>
    <row r="1" spans="1:9" s="53" customFormat="1" ht="36" customHeight="1" x14ac:dyDescent="0.2">
      <c r="A1" s="11" t="s">
        <v>65</v>
      </c>
      <c r="B1" s="52"/>
      <c r="C1" s="52"/>
      <c r="D1" s="40"/>
      <c r="E1" s="40"/>
      <c r="F1" s="40"/>
      <c r="G1" s="40"/>
      <c r="H1" s="39" t="s">
        <v>66</v>
      </c>
    </row>
    <row r="2" spans="1:9" ht="10.15" customHeight="1" x14ac:dyDescent="0.2">
      <c r="A2" s="23"/>
      <c r="D2" s="24"/>
      <c r="E2" s="24"/>
      <c r="F2" s="24"/>
      <c r="G2" s="24"/>
      <c r="H2" s="24"/>
      <c r="I2" s="24"/>
    </row>
    <row r="3" spans="1:9" ht="80.25" customHeight="1" x14ac:dyDescent="0.2">
      <c r="A3" s="458" t="s">
        <v>67</v>
      </c>
      <c r="B3" s="458"/>
      <c r="C3" s="458"/>
      <c r="D3" s="458"/>
      <c r="E3" s="458"/>
      <c r="F3" s="458"/>
      <c r="G3" s="458"/>
      <c r="H3" s="458"/>
      <c r="I3" s="47"/>
    </row>
    <row r="4" spans="1:9" ht="10.15" customHeight="1" thickBot="1" x14ac:dyDescent="0.25"/>
    <row r="5" spans="1:9" s="20" customFormat="1" ht="18" customHeight="1" x14ac:dyDescent="0.2">
      <c r="A5" s="459" t="s">
        <v>68</v>
      </c>
      <c r="B5" s="45" t="s">
        <v>69</v>
      </c>
      <c r="C5" s="45"/>
      <c r="D5" s="32" t="s">
        <v>0</v>
      </c>
      <c r="E5" s="73"/>
      <c r="F5" s="470">
        <v>41165</v>
      </c>
      <c r="G5" s="471"/>
      <c r="H5" s="472"/>
    </row>
    <row r="6" spans="1:9" s="20" customFormat="1" ht="18" customHeight="1" x14ac:dyDescent="0.2">
      <c r="A6" s="460"/>
      <c r="B6" s="87" t="s">
        <v>70</v>
      </c>
      <c r="C6" s="71"/>
      <c r="D6" s="41" t="s">
        <v>1</v>
      </c>
      <c r="E6" s="74"/>
      <c r="F6" s="473">
        <v>41172</v>
      </c>
      <c r="G6" s="474"/>
      <c r="H6" s="475"/>
    </row>
    <row r="7" spans="1:9" s="20" customFormat="1" ht="27" customHeight="1" thickBot="1" x14ac:dyDescent="0.25">
      <c r="A7" s="461"/>
      <c r="B7" s="72"/>
      <c r="C7" s="72"/>
      <c r="D7" s="462" t="s">
        <v>71</v>
      </c>
      <c r="E7" s="463"/>
      <c r="F7" s="476" t="s">
        <v>72</v>
      </c>
      <c r="G7" s="477"/>
      <c r="H7" s="478"/>
    </row>
    <row r="8" spans="1:9" s="20" customFormat="1" ht="10.15" customHeight="1" thickBot="1" x14ac:dyDescent="0.25">
      <c r="B8" s="19"/>
      <c r="C8" s="19"/>
      <c r="D8" s="19"/>
    </row>
    <row r="9" spans="1:9" s="5" customFormat="1" ht="18" customHeight="1" x14ac:dyDescent="0.2">
      <c r="A9" s="35" t="s">
        <v>73</v>
      </c>
      <c r="B9" s="112"/>
      <c r="C9" s="112"/>
      <c r="D9" s="35" t="s">
        <v>74</v>
      </c>
      <c r="E9" s="112"/>
      <c r="F9" s="112"/>
      <c r="G9" s="112"/>
      <c r="H9" s="18"/>
    </row>
    <row r="10" spans="1:9" s="20" customFormat="1" ht="25.5" x14ac:dyDescent="0.2">
      <c r="A10" s="80" t="s">
        <v>2</v>
      </c>
      <c r="B10" s="111" t="s">
        <v>75</v>
      </c>
      <c r="C10" s="110"/>
      <c r="D10" s="77" t="s">
        <v>3</v>
      </c>
      <c r="E10" s="434" t="s">
        <v>72</v>
      </c>
      <c r="F10" s="435"/>
      <c r="G10" s="435"/>
      <c r="H10" s="436"/>
    </row>
    <row r="11" spans="1:9" s="20" customFormat="1" ht="18" customHeight="1" x14ac:dyDescent="0.2">
      <c r="A11" s="81" t="s">
        <v>4</v>
      </c>
      <c r="B11" s="113"/>
      <c r="C11" s="110"/>
      <c r="D11" s="78" t="s">
        <v>4</v>
      </c>
      <c r="E11" s="449" t="s">
        <v>76</v>
      </c>
      <c r="F11" s="450"/>
      <c r="G11" s="450"/>
      <c r="H11" s="451"/>
    </row>
    <row r="12" spans="1:9" s="20" customFormat="1" ht="18" customHeight="1" x14ac:dyDescent="0.2">
      <c r="A12" s="81" t="s">
        <v>77</v>
      </c>
      <c r="B12" s="114"/>
      <c r="C12" s="110"/>
      <c r="D12" s="78" t="s">
        <v>77</v>
      </c>
      <c r="E12" s="452" t="s">
        <v>78</v>
      </c>
      <c r="F12" s="453"/>
      <c r="G12" s="453"/>
      <c r="H12" s="454"/>
    </row>
    <row r="13" spans="1:9" s="20" customFormat="1" ht="18" customHeight="1" x14ac:dyDescent="0.2">
      <c r="A13" s="81" t="s">
        <v>79</v>
      </c>
      <c r="B13" s="114"/>
      <c r="C13" s="110"/>
      <c r="D13" s="78" t="s">
        <v>79</v>
      </c>
      <c r="E13" s="452" t="s">
        <v>80</v>
      </c>
      <c r="F13" s="453"/>
      <c r="G13" s="453"/>
      <c r="H13" s="454"/>
    </row>
    <row r="14" spans="1:9" s="20" customFormat="1" ht="18" customHeight="1" x14ac:dyDescent="0.2">
      <c r="A14" s="81" t="s">
        <v>81</v>
      </c>
      <c r="B14" s="114"/>
      <c r="C14" s="110"/>
      <c r="D14" s="78" t="s">
        <v>81</v>
      </c>
      <c r="E14" s="452" t="s">
        <v>82</v>
      </c>
      <c r="F14" s="453"/>
      <c r="G14" s="453"/>
      <c r="H14" s="454"/>
    </row>
    <row r="15" spans="1:9" s="20" customFormat="1" ht="18" customHeight="1" thickBot="1" x14ac:dyDescent="0.25">
      <c r="A15" s="79" t="s">
        <v>83</v>
      </c>
      <c r="B15" s="76"/>
      <c r="C15" s="76"/>
      <c r="D15" s="75" t="s">
        <v>83</v>
      </c>
      <c r="E15" s="437" t="s">
        <v>84</v>
      </c>
      <c r="F15" s="438"/>
      <c r="G15" s="438"/>
      <c r="H15" s="439"/>
    </row>
    <row r="16" spans="1:9" ht="10.15" customHeight="1" thickBot="1" x14ac:dyDescent="0.25">
      <c r="A16" s="3"/>
      <c r="B16" s="4"/>
      <c r="C16" s="3"/>
    </row>
    <row r="17" spans="1:9" s="2" customFormat="1" ht="18" customHeight="1" x14ac:dyDescent="0.2">
      <c r="A17" s="32" t="s">
        <v>5</v>
      </c>
      <c r="B17" s="73"/>
      <c r="C17" s="455">
        <v>41182</v>
      </c>
      <c r="D17" s="456"/>
      <c r="E17" s="456"/>
      <c r="F17" s="456"/>
      <c r="G17" s="456"/>
      <c r="H17" s="457"/>
      <c r="I17" s="3"/>
    </row>
    <row r="18" spans="1:9" s="2" customFormat="1" ht="18" customHeight="1" x14ac:dyDescent="0.2">
      <c r="A18" s="41" t="s">
        <v>6</v>
      </c>
      <c r="B18" s="42"/>
      <c r="C18" s="434" t="s">
        <v>85</v>
      </c>
      <c r="D18" s="435"/>
      <c r="E18" s="435"/>
      <c r="F18" s="435"/>
      <c r="G18" s="435"/>
      <c r="H18" s="436"/>
      <c r="I18" s="16"/>
    </row>
    <row r="19" spans="1:9" ht="18" customHeight="1" x14ac:dyDescent="0.2">
      <c r="A19" s="41" t="s">
        <v>7</v>
      </c>
      <c r="B19" s="42"/>
      <c r="C19" s="434" t="s">
        <v>86</v>
      </c>
      <c r="D19" s="435"/>
      <c r="E19" s="435"/>
      <c r="F19" s="435"/>
      <c r="G19" s="435"/>
      <c r="H19" s="436"/>
      <c r="I19" s="16"/>
    </row>
    <row r="20" spans="1:9" ht="18" customHeight="1" thickBot="1" x14ac:dyDescent="0.25">
      <c r="A20" s="43" t="s">
        <v>87</v>
      </c>
      <c r="B20" s="44"/>
      <c r="C20" s="437" t="s">
        <v>88</v>
      </c>
      <c r="D20" s="438"/>
      <c r="E20" s="438"/>
      <c r="F20" s="438"/>
      <c r="G20" s="438"/>
      <c r="H20" s="439"/>
    </row>
    <row r="21" spans="1:9" ht="9.75" customHeight="1" thickBot="1" x14ac:dyDescent="0.25">
      <c r="A21" s="19"/>
      <c r="C21" s="5"/>
    </row>
    <row r="22" spans="1:9" ht="15.75" customHeight="1" thickBot="1" x14ac:dyDescent="0.25">
      <c r="A22" s="17"/>
      <c r="B22" s="17"/>
      <c r="C22" s="17"/>
      <c r="D22" s="17"/>
      <c r="E22" s="464" t="s">
        <v>89</v>
      </c>
      <c r="F22" s="465"/>
      <c r="G22" s="465"/>
      <c r="H22" s="466"/>
    </row>
    <row r="23" spans="1:9" s="5" customFormat="1" ht="39" customHeight="1" x14ac:dyDescent="0.2">
      <c r="A23" s="26" t="s">
        <v>8</v>
      </c>
      <c r="B23" s="46" t="s">
        <v>9</v>
      </c>
      <c r="C23" s="48" t="s">
        <v>90</v>
      </c>
      <c r="D23" s="28" t="s">
        <v>10</v>
      </c>
      <c r="E23" s="29" t="s">
        <v>91</v>
      </c>
      <c r="F23" s="49" t="s">
        <v>11</v>
      </c>
      <c r="G23" s="49" t="s">
        <v>12</v>
      </c>
      <c r="H23" s="30" t="s">
        <v>13</v>
      </c>
    </row>
    <row r="24" spans="1:9" ht="18" customHeight="1" x14ac:dyDescent="0.2">
      <c r="A24" s="54">
        <v>1</v>
      </c>
      <c r="B24" s="88" t="s">
        <v>92</v>
      </c>
      <c r="C24" s="90" t="s">
        <v>93</v>
      </c>
      <c r="D24" s="91">
        <v>15</v>
      </c>
      <c r="E24" s="21"/>
      <c r="F24" s="61"/>
      <c r="G24" s="61" t="str">
        <f>IF(OR(ISBLANK(D24),ISBLANK(F24)),"",D24*F24)</f>
        <v/>
      </c>
      <c r="H24" s="66"/>
    </row>
    <row r="25" spans="1:9" ht="18" customHeight="1" x14ac:dyDescent="0.2">
      <c r="A25" s="54">
        <v>2</v>
      </c>
      <c r="B25" s="88" t="s">
        <v>94</v>
      </c>
      <c r="C25" s="89" t="s">
        <v>95</v>
      </c>
      <c r="D25" s="91">
        <v>10</v>
      </c>
      <c r="E25" s="21"/>
      <c r="F25" s="61"/>
      <c r="G25" s="61" t="str">
        <f t="shared" ref="G25:G34" si="0">IF(OR(ISBLANK(D25),ISBLANK(F25)),"",D25*F25)</f>
        <v/>
      </c>
      <c r="H25" s="66"/>
    </row>
    <row r="26" spans="1:9" ht="18" customHeight="1" x14ac:dyDescent="0.2">
      <c r="A26" s="54">
        <v>3</v>
      </c>
      <c r="B26" s="88" t="s">
        <v>96</v>
      </c>
      <c r="C26" s="89" t="s">
        <v>97</v>
      </c>
      <c r="D26" s="91">
        <v>12</v>
      </c>
      <c r="E26" s="21"/>
      <c r="F26" s="69"/>
      <c r="G26" s="61" t="str">
        <f t="shared" si="0"/>
        <v/>
      </c>
      <c r="H26" s="66"/>
    </row>
    <row r="27" spans="1:9" ht="18" customHeight="1" x14ac:dyDescent="0.2">
      <c r="A27" s="54">
        <v>4</v>
      </c>
      <c r="B27" s="88" t="s">
        <v>98</v>
      </c>
      <c r="C27" s="90" t="s">
        <v>99</v>
      </c>
      <c r="D27" s="92">
        <v>20</v>
      </c>
      <c r="E27" s="21"/>
      <c r="F27" s="61"/>
      <c r="G27" s="61" t="str">
        <f t="shared" si="0"/>
        <v/>
      </c>
      <c r="H27" s="66"/>
    </row>
    <row r="28" spans="1:9" ht="18" customHeight="1" x14ac:dyDescent="0.2">
      <c r="A28" s="54">
        <v>5</v>
      </c>
      <c r="B28" s="88" t="s">
        <v>100</v>
      </c>
      <c r="C28" s="90" t="s">
        <v>93</v>
      </c>
      <c r="D28" s="92">
        <v>20</v>
      </c>
      <c r="E28" s="21"/>
      <c r="F28" s="61"/>
      <c r="G28" s="61" t="str">
        <f t="shared" si="0"/>
        <v/>
      </c>
      <c r="H28" s="66"/>
    </row>
    <row r="29" spans="1:9" ht="18" customHeight="1" x14ac:dyDescent="0.2">
      <c r="A29" s="54">
        <v>6</v>
      </c>
      <c r="B29" s="88" t="s">
        <v>101</v>
      </c>
      <c r="C29" s="89" t="s">
        <v>102</v>
      </c>
      <c r="D29" s="92">
        <v>10</v>
      </c>
      <c r="E29" s="21"/>
      <c r="F29" s="61"/>
      <c r="G29" s="61" t="str">
        <f t="shared" si="0"/>
        <v/>
      </c>
      <c r="H29" s="66"/>
    </row>
    <row r="30" spans="1:9" ht="18" customHeight="1" x14ac:dyDescent="0.2">
      <c r="A30" s="54"/>
      <c r="B30" s="88"/>
      <c r="C30" s="100"/>
      <c r="D30" s="59"/>
      <c r="E30" s="21"/>
      <c r="F30" s="61"/>
      <c r="G30" s="61" t="str">
        <f t="shared" si="0"/>
        <v/>
      </c>
      <c r="H30" s="66"/>
    </row>
    <row r="31" spans="1:9" ht="18" customHeight="1" x14ac:dyDescent="0.2">
      <c r="A31" s="54"/>
      <c r="B31" s="56"/>
      <c r="C31" s="100"/>
      <c r="D31" s="59"/>
      <c r="E31" s="21"/>
      <c r="F31" s="61"/>
      <c r="G31" s="61" t="str">
        <f t="shared" si="0"/>
        <v/>
      </c>
      <c r="H31" s="66"/>
    </row>
    <row r="32" spans="1:9" ht="18" customHeight="1" x14ac:dyDescent="0.2">
      <c r="A32" s="54"/>
      <c r="B32" s="56"/>
      <c r="C32" s="100"/>
      <c r="D32" s="59"/>
      <c r="E32" s="21"/>
      <c r="F32" s="61"/>
      <c r="G32" s="61" t="str">
        <f t="shared" si="0"/>
        <v/>
      </c>
      <c r="H32" s="66"/>
    </row>
    <row r="33" spans="1:9" ht="18" customHeight="1" x14ac:dyDescent="0.2">
      <c r="A33" s="54"/>
      <c r="B33" s="56"/>
      <c r="C33" s="100"/>
      <c r="D33" s="59"/>
      <c r="E33" s="21"/>
      <c r="F33" s="61"/>
      <c r="G33" s="61" t="str">
        <f t="shared" si="0"/>
        <v/>
      </c>
      <c r="H33" s="66"/>
    </row>
    <row r="34" spans="1:9" ht="18" customHeight="1" thickBot="1" x14ac:dyDescent="0.25">
      <c r="A34" s="55"/>
      <c r="B34" s="57"/>
      <c r="C34" s="58"/>
      <c r="D34" s="60"/>
      <c r="E34" s="22"/>
      <c r="F34" s="62"/>
      <c r="G34" s="62" t="str">
        <f t="shared" si="0"/>
        <v/>
      </c>
      <c r="H34" s="67"/>
    </row>
    <row r="35" spans="1:9" ht="18" customHeight="1" x14ac:dyDescent="0.2">
      <c r="A35" s="38" t="s">
        <v>103</v>
      </c>
      <c r="F35" s="25" t="s">
        <v>14</v>
      </c>
      <c r="G35" s="68" t="str">
        <f>IF(SUM(G24:G34)=0,"",SUM(G24:G34))</f>
        <v/>
      </c>
      <c r="H35" s="15"/>
    </row>
    <row r="36" spans="1:9" ht="18" customHeight="1" x14ac:dyDescent="0.2">
      <c r="A36" s="38"/>
      <c r="F36" s="25" t="s">
        <v>104</v>
      </c>
      <c r="G36" s="63"/>
      <c r="H36" s="4"/>
    </row>
    <row r="37" spans="1:9" ht="18" customHeight="1" x14ac:dyDescent="0.2">
      <c r="F37" s="25" t="s">
        <v>15</v>
      </c>
      <c r="G37" s="64"/>
      <c r="H37" s="4"/>
    </row>
    <row r="38" spans="1:9" ht="18" customHeight="1" thickBot="1" x14ac:dyDescent="0.25">
      <c r="F38" s="25" t="s">
        <v>17</v>
      </c>
      <c r="G38" s="65"/>
      <c r="H38" s="4"/>
    </row>
    <row r="39" spans="1:9" ht="18" customHeight="1" thickBot="1" x14ac:dyDescent="0.25">
      <c r="A39" s="50" t="s">
        <v>16</v>
      </c>
      <c r="B39" s="51"/>
      <c r="F39" s="25" t="s">
        <v>18</v>
      </c>
      <c r="G39" s="70" t="str">
        <f>IF(SUM(G35:G38)=0,"",SUM(G35:G38))</f>
        <v/>
      </c>
      <c r="H39" s="4"/>
    </row>
    <row r="40" spans="1:9" ht="18" customHeight="1" x14ac:dyDescent="0.2">
      <c r="A40" s="93" t="s">
        <v>105</v>
      </c>
      <c r="B40" s="94"/>
      <c r="C40" s="467"/>
      <c r="D40" s="468"/>
      <c r="E40" s="469"/>
      <c r="G40" s="9"/>
      <c r="I40" s="4"/>
    </row>
    <row r="41" spans="1:9" ht="18" customHeight="1" x14ac:dyDescent="0.2">
      <c r="A41" s="95" t="s">
        <v>106</v>
      </c>
      <c r="B41" s="96"/>
      <c r="C41" s="434"/>
      <c r="D41" s="435"/>
      <c r="E41" s="436"/>
    </row>
    <row r="42" spans="1:9" ht="18" customHeight="1" x14ac:dyDescent="0.2">
      <c r="A42" s="95" t="s">
        <v>107</v>
      </c>
      <c r="B42" s="96"/>
      <c r="C42" s="434"/>
      <c r="D42" s="435"/>
      <c r="E42" s="436"/>
    </row>
    <row r="43" spans="1:9" ht="18" customHeight="1" thickBot="1" x14ac:dyDescent="0.25">
      <c r="A43" s="97" t="s">
        <v>108</v>
      </c>
      <c r="B43" s="98"/>
      <c r="C43" s="437"/>
      <c r="D43" s="438"/>
      <c r="E43" s="439"/>
    </row>
    <row r="44" spans="1:9" ht="10.15" customHeight="1" thickBot="1" x14ac:dyDescent="0.25">
      <c r="A44" s="9"/>
      <c r="H44" s="10"/>
    </row>
    <row r="45" spans="1:9" s="5" customFormat="1" ht="18" customHeight="1" x14ac:dyDescent="0.2">
      <c r="A45" s="32" t="s">
        <v>109</v>
      </c>
      <c r="B45" s="31"/>
      <c r="C45" s="37"/>
      <c r="D45" s="27" t="s">
        <v>110</v>
      </c>
      <c r="E45" s="31"/>
      <c r="F45" s="31"/>
      <c r="G45" s="31"/>
      <c r="H45" s="36"/>
    </row>
    <row r="46" spans="1:9" s="5" customFormat="1" ht="24" customHeight="1" x14ac:dyDescent="0.2">
      <c r="A46" s="82" t="s">
        <v>111</v>
      </c>
      <c r="B46" s="83"/>
      <c r="C46" s="83"/>
      <c r="D46" s="440"/>
      <c r="E46" s="441"/>
      <c r="F46" s="441"/>
      <c r="G46" s="441"/>
      <c r="H46" s="442"/>
    </row>
    <row r="47" spans="1:9" s="5" customFormat="1" ht="24" customHeight="1" x14ac:dyDescent="0.2">
      <c r="A47" s="85" t="s">
        <v>112</v>
      </c>
      <c r="B47" s="110"/>
      <c r="C47" s="86"/>
      <c r="D47" s="443"/>
      <c r="E47" s="444"/>
      <c r="F47" s="444"/>
      <c r="G47" s="444"/>
      <c r="H47" s="445"/>
    </row>
    <row r="48" spans="1:9" s="5" customFormat="1" ht="30" customHeight="1" thickBot="1" x14ac:dyDescent="0.25">
      <c r="A48" s="84" t="s">
        <v>113</v>
      </c>
      <c r="B48" s="76"/>
      <c r="C48" s="76"/>
      <c r="D48" s="446"/>
      <c r="E48" s="447"/>
      <c r="F48" s="447"/>
      <c r="G48" s="447"/>
      <c r="H48" s="448"/>
    </row>
    <row r="49" spans="1:2" s="5" customFormat="1" ht="18" customHeight="1" x14ac:dyDescent="0.2">
      <c r="A49" s="2"/>
      <c r="B49" s="2"/>
    </row>
    <row r="50" spans="1:2" ht="18" customHeight="1" x14ac:dyDescent="0.2"/>
    <row r="51" spans="1:2" ht="18" customHeight="1" x14ac:dyDescent="0.2"/>
    <row r="52" spans="1:2" ht="18" customHeight="1" x14ac:dyDescent="0.2"/>
  </sheetData>
  <mergeCells count="22">
    <mergeCell ref="A3:H3"/>
    <mergeCell ref="A5:A7"/>
    <mergeCell ref="D7:E7"/>
    <mergeCell ref="E22:H22"/>
    <mergeCell ref="C40:E40"/>
    <mergeCell ref="F5:H5"/>
    <mergeCell ref="F6:H6"/>
    <mergeCell ref="F7:H7"/>
    <mergeCell ref="C41:E41"/>
    <mergeCell ref="C42:E42"/>
    <mergeCell ref="C43:E43"/>
    <mergeCell ref="D46:H48"/>
    <mergeCell ref="E10:H10"/>
    <mergeCell ref="E11:H11"/>
    <mergeCell ref="E12:H12"/>
    <mergeCell ref="E13:H13"/>
    <mergeCell ref="E14:H14"/>
    <mergeCell ref="E15:H15"/>
    <mergeCell ref="C17:H17"/>
    <mergeCell ref="C18:H18"/>
    <mergeCell ref="C19:H19"/>
    <mergeCell ref="C20:H20"/>
  </mergeCells>
  <hyperlinks>
    <hyperlink ref="E11" r:id="rId1" xr:uid="{00000000-0004-0000-0200-000000000000}"/>
  </hyperlinks>
  <printOptions horizontalCentered="1"/>
  <pageMargins left="0.19685039370078741" right="0.19685039370078741" top="0.19685039370078741" bottom="0.39370078740157483" header="0" footer="0.19685039370078741"/>
  <pageSetup paperSize="9" scale="81" orientation="portrait" r:id="rId2"/>
  <headerFooter alignWithMargins="0">
    <oddFooter>&amp;L&amp;"Arial,Italic"&amp;8Form ID:&amp;F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0505F254ED8A4E833F4217E3A501A8" ma:contentTypeVersion="8" ma:contentTypeDescription="Create a new document." ma:contentTypeScope="" ma:versionID="57370905e09541037eddb570c4afb7d8">
  <xsd:schema xmlns:xsd="http://www.w3.org/2001/XMLSchema" xmlns:xs="http://www.w3.org/2001/XMLSchema" xmlns:p="http://schemas.microsoft.com/office/2006/metadata/properties" xmlns:ns2="08a9aa9e-677d-4087-8684-0d81bb36c7b6" xmlns:ns3="420decf5-afdd-4ce0-b07b-c41cb74c88c4" targetNamespace="http://schemas.microsoft.com/office/2006/metadata/properties" ma:root="true" ma:fieldsID="f152cbb3a0650e39286b40e2b8ec9480" ns2:_="" ns3:_="">
    <xsd:import namespace="08a9aa9e-677d-4087-8684-0d81bb36c7b6"/>
    <xsd:import namespace="420decf5-afdd-4ce0-b07b-c41cb74c88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a9aa9e-677d-4087-8684-0d81bb36c7b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0decf5-afdd-4ce0-b07b-c41cb74c88c4" elementFormDefault="qualified">
    <xsd:import namespace="http://schemas.microsoft.com/office/2006/documentManagement/types"/>
    <xsd:import namespace="http://schemas.microsoft.com/office/infopath/2007/PartnerControls"/>
    <xsd:element name="SharedWithUsers" ma:index="1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6D7E5E-A14D-4855-AED0-5866C280DE1D}">
  <ds:schemaRefs>
    <ds:schemaRef ds:uri="http://schemas.microsoft.com/office/2006/metadata/properties"/>
    <ds:schemaRef ds:uri="420decf5-afdd-4ce0-b07b-c41cb74c88c4"/>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08a9aa9e-677d-4087-8684-0d81bb36c7b6"/>
    <ds:schemaRef ds:uri="http://www.w3.org/XML/1998/namespace"/>
  </ds:schemaRefs>
</ds:datastoreItem>
</file>

<file path=customXml/itemProps2.xml><?xml version="1.0" encoding="utf-8"?>
<ds:datastoreItem xmlns:ds="http://schemas.openxmlformats.org/officeDocument/2006/customXml" ds:itemID="{C421E6B6-A6BE-4FDA-8853-879AFD1C0ADD}">
  <ds:schemaRefs>
    <ds:schemaRef ds:uri="http://schemas.microsoft.com/office/2006/metadata/contentType"/>
    <ds:schemaRef ds:uri="http://schemas.microsoft.com/office/2006/metadata/properties/metaAttributes"/>
    <ds:schemaRef ds:uri="http://www.w3.org/2000/xmlns/"/>
    <ds:schemaRef ds:uri="http://www.w3.org/2001/XMLSchema"/>
    <ds:schemaRef ds:uri="08a9aa9e-677d-4087-8684-0d81bb36c7b6"/>
    <ds:schemaRef ds:uri="420decf5-afdd-4ce0-b07b-c41cb74c88c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31D46-43FA-47E9-A76F-A5E8B37D25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20</vt:i4>
      </vt:variant>
    </vt:vector>
  </HeadingPairs>
  <TitlesOfParts>
    <vt:vector size="43" baseType="lpstr">
      <vt:lpstr>Phiếu MRF</vt:lpstr>
      <vt:lpstr>DATA</vt:lpstr>
      <vt:lpstr>Request for Quotation</vt:lpstr>
      <vt:lpstr>Request for Quotation (2)</vt:lpstr>
      <vt:lpstr>YCVT-BM</vt:lpstr>
      <vt:lpstr>YCVT61-10-29 (2)</vt:lpstr>
      <vt:lpstr>ycvt24-10(82)</vt:lpstr>
      <vt:lpstr>30-12-25</vt:lpstr>
      <vt:lpstr>30-12-25(1)</vt:lpstr>
      <vt:lpstr>3-1-26</vt:lpstr>
      <vt:lpstr>3-1-26(2)</vt:lpstr>
      <vt:lpstr>5-1-26</vt:lpstr>
      <vt:lpstr>7-1-26</vt:lpstr>
      <vt:lpstr>7-1-26(2)</vt:lpstr>
      <vt:lpstr>8-1-26</vt:lpstr>
      <vt:lpstr>12-1-26</vt:lpstr>
      <vt:lpstr>13-1-26</vt:lpstr>
      <vt:lpstr>15-1-26</vt:lpstr>
      <vt:lpstr>15-1-26(2)</vt:lpstr>
      <vt:lpstr>16-1-26</vt:lpstr>
      <vt:lpstr>5-5-26</vt:lpstr>
      <vt:lpstr>Guidance</vt:lpstr>
      <vt:lpstr>Example</vt:lpstr>
      <vt:lpstr>'12-1-26'!Print_Area</vt:lpstr>
      <vt:lpstr>'13-1-26'!Print_Area</vt:lpstr>
      <vt:lpstr>'15-1-26'!Print_Area</vt:lpstr>
      <vt:lpstr>'15-1-26(2)'!Print_Area</vt:lpstr>
      <vt:lpstr>'16-1-26'!Print_Area</vt:lpstr>
      <vt:lpstr>'30-12-25'!Print_Area</vt:lpstr>
      <vt:lpstr>'30-12-25(1)'!Print_Area</vt:lpstr>
      <vt:lpstr>'3-1-26'!Print_Area</vt:lpstr>
      <vt:lpstr>'3-1-26(2)'!Print_Area</vt:lpstr>
      <vt:lpstr>'5-1-26'!Print_Area</vt:lpstr>
      <vt:lpstr>'5-5-26'!Print_Area</vt:lpstr>
      <vt:lpstr>'7-1-26'!Print_Area</vt:lpstr>
      <vt:lpstr>'7-1-26(2)'!Print_Area</vt:lpstr>
      <vt:lpstr>'8-1-26'!Print_Area</vt:lpstr>
      <vt:lpstr>'Phiếu MRF'!Print_Area</vt:lpstr>
      <vt:lpstr>'Request for Quotation'!Print_Area</vt:lpstr>
      <vt:lpstr>'Request for Quotation (2)'!Print_Area</vt:lpstr>
      <vt:lpstr>'ycvt24-10(82)'!Print_Area</vt:lpstr>
      <vt:lpstr>'YCVT61-10-29 (2)'!Print_Area</vt:lpstr>
      <vt:lpstr>'YCVT-BM'!Print_Area</vt:lpstr>
    </vt:vector>
  </TitlesOfParts>
  <Manager/>
  <Company>Save the Children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RFQ Template</dc:title>
  <dc:subject/>
  <dc:creator>marekdalibor@hotmail.co.uk</dc:creator>
  <cp:keywords/>
  <dc:description/>
  <cp:lastModifiedBy>GTAM JSC</cp:lastModifiedBy>
  <cp:revision/>
  <cp:lastPrinted>2026-01-16T00:59:13Z</cp:lastPrinted>
  <dcterms:created xsi:type="dcterms:W3CDTF">2008-12-04T15:04:23Z</dcterms:created>
  <dcterms:modified xsi:type="dcterms:W3CDTF">2026-05-05T11:20:29Z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0x010100B20505F254ED8A4E833F4217E3A501A8</vt:lpwstr>
  </property>
  <property fmtid="{D5CDD505-2E9C-101B-9397-08002B2CF9AE}" pid="3" name="Modified By">
    <vt:lpwstr>i:0#.w|sci\d.balidoy</vt:lpwstr>
  </property>
  <property fmtid="{D5CDD505-2E9C-101B-9397-08002B2CF9AE}" pid="4" name="Created By">
    <vt:lpwstr>i:0#.w|sci\d.balidoy</vt:lpwstr>
  </property>
  <property fmtid="{D5CDD505-2E9C-101B-9397-08002B2CF9AE}" pid="5" name="Jet Reports Function Literals">
    <vt:lpwstr>,	;	,	{	}	[@[{0}]]	1033	2057</vt:lpwstr>
  </property>
  <property fmtid="{D5CDD505-2E9C-101B-9397-08002B2CF9AE}" pid="6" name="MSIP_Label_defa4170-0d19-0005-0004-bc88714345d2_Enabled">
    <vt:lpwstr>true</vt:lpwstr>
  </property>
  <property fmtid="{D5CDD505-2E9C-101B-9397-08002B2CF9AE}" pid="7" name="MSIP_Label_defa4170-0d19-0005-0004-bc88714345d2_SetDate">
    <vt:lpwstr>2025-08-02T09:25:48Z</vt:lpwstr>
  </property>
  <property fmtid="{D5CDD505-2E9C-101B-9397-08002B2CF9AE}" pid="8" name="MSIP_Label_defa4170-0d19-0005-0004-bc88714345d2_Method">
    <vt:lpwstr>Standard</vt:lpwstr>
  </property>
  <property fmtid="{D5CDD505-2E9C-101B-9397-08002B2CF9AE}" pid="9" name="MSIP_Label_defa4170-0d19-0005-0004-bc88714345d2_Name">
    <vt:lpwstr>defa4170-0d19-0005-0004-bc88714345d2</vt:lpwstr>
  </property>
  <property fmtid="{D5CDD505-2E9C-101B-9397-08002B2CF9AE}" pid="10" name="MSIP_Label_defa4170-0d19-0005-0004-bc88714345d2_SiteId">
    <vt:lpwstr>b754d18a-6b7f-408b-acc9-7cd90d8068c7</vt:lpwstr>
  </property>
  <property fmtid="{D5CDD505-2E9C-101B-9397-08002B2CF9AE}" pid="11" name="MSIP_Label_defa4170-0d19-0005-0004-bc88714345d2_ActionId">
    <vt:lpwstr>5fc14f99-ed7a-4472-8264-2dd4bf9dfd23</vt:lpwstr>
  </property>
  <property fmtid="{D5CDD505-2E9C-101B-9397-08002B2CF9AE}" pid="12" name="MSIP_Label_defa4170-0d19-0005-0004-bc88714345d2_ContentBits">
    <vt:lpwstr>0</vt:lpwstr>
  </property>
  <property fmtid="{D5CDD505-2E9C-101B-9397-08002B2CF9AE}" pid="13" name="MSIP_Label_defa4170-0d19-0005-0004-bc88714345d2_Tag">
    <vt:lpwstr>10, 3, 0, 1</vt:lpwstr>
  </property>
</Properties>
</file>